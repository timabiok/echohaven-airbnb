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tim_abiok/Desktop/PROJECTS/TIMOTHY ABIOK/ECHOHAVEN /"/>
    </mc:Choice>
  </mc:AlternateContent>
  <xr:revisionPtr revIDLastSave="0" documentId="13_ncr:1_{997E5FE4-01EB-C445-B23F-BA54D516D5E4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Echohaven Tracker" sheetId="1" r:id="rId1"/>
    <sheet name="Activity Log" sheetId="2" r:id="rId2"/>
  </sheets>
  <definedNames>
    <definedName name="_xlnm._FilterDatabase" localSheetId="0" hidden="1">'Echohaven Tracker'!$A$3:$L$31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2" l="1" a="1"/>
  <c r="K8" i="2" s="1"/>
  <c r="K7" i="2"/>
  <c r="K6" i="2" a="1"/>
  <c r="K6" i="2" s="1"/>
  <c r="K5" i="2" a="1"/>
  <c r="K5" i="2" s="1"/>
  <c r="K4" i="2"/>
  <c r="K3" i="2"/>
  <c r="G47" i="1"/>
  <c r="G48" i="1"/>
  <c r="G49" i="1"/>
  <c r="G50" i="1"/>
  <c r="B48" i="1"/>
  <c r="C48" i="1"/>
  <c r="B49" i="1"/>
  <c r="C49" i="1"/>
  <c r="B50" i="1"/>
  <c r="C50" i="1"/>
  <c r="B51" i="1"/>
  <c r="C51" i="1"/>
  <c r="B52" i="1"/>
  <c r="C52" i="1"/>
  <c r="B53" i="1"/>
  <c r="C53" i="1"/>
  <c r="J38" i="1"/>
  <c r="J41" i="1" s="1"/>
  <c r="K38" i="1"/>
  <c r="J39" i="1"/>
  <c r="K39" i="1"/>
  <c r="J40" i="1"/>
  <c r="K40" i="1"/>
  <c r="F38" i="1"/>
  <c r="F39" i="1"/>
  <c r="F40" i="1"/>
  <c r="F41" i="1"/>
  <c r="B38" i="1"/>
  <c r="B39" i="1"/>
  <c r="C39" i="1" s="1"/>
  <c r="B40" i="1"/>
  <c r="C40" i="1" s="1"/>
  <c r="B41" i="1"/>
  <c r="C41" i="1" s="1"/>
  <c r="B42" i="1"/>
  <c r="C42" i="1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F42" i="1" l="1"/>
  <c r="B54" i="1"/>
  <c r="C54" i="1"/>
  <c r="K41" i="1"/>
  <c r="G52" i="1"/>
  <c r="G51" i="1"/>
  <c r="B43" i="1"/>
  <c r="C38" i="1"/>
  <c r="C43" i="1" s="1"/>
  <c r="G53" i="1" s="1"/>
  <c r="G38" i="1"/>
  <c r="G42" i="1"/>
  <c r="G39" i="1"/>
  <c r="G41" i="1"/>
  <c r="D48" i="1"/>
  <c r="D54" i="1"/>
  <c r="D53" i="1"/>
  <c r="D50" i="1"/>
  <c r="G40" i="1"/>
  <c r="D52" i="1"/>
  <c r="D49" i="1"/>
  <c r="D5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<sst xmlns="http://schemas.openxmlformats.org/spreadsheetml/2006/main" count="229" uniqueCount="105">
  <si>
    <t>Priority</t>
  </si>
  <si>
    <t>Item/Description</t>
  </si>
  <si>
    <t>Category</t>
  </si>
  <si>
    <t>Frequency</t>
  </si>
  <si>
    <t>Status</t>
  </si>
  <si>
    <t>Electricity</t>
  </si>
  <si>
    <t>Utilities</t>
  </si>
  <si>
    <t>Monthly</t>
  </si>
  <si>
    <t>Water</t>
  </si>
  <si>
    <t>Fire Extinguisher</t>
  </si>
  <si>
    <t>Safety</t>
  </si>
  <si>
    <t>Annual</t>
  </si>
  <si>
    <t>Gas</t>
  </si>
  <si>
    <t>Internet</t>
  </si>
  <si>
    <t>T Rolls</t>
  </si>
  <si>
    <t>Essentials</t>
  </si>
  <si>
    <t>Quarterly</t>
  </si>
  <si>
    <t>Cleaning Detergent</t>
  </si>
  <si>
    <t>Maintenance</t>
  </si>
  <si>
    <t>Washing Machine Detergent</t>
  </si>
  <si>
    <t>Waste Disposal</t>
  </si>
  <si>
    <t>Pool Chemicals</t>
  </si>
  <si>
    <t>Air Condition Maintenance</t>
  </si>
  <si>
    <t>Cleaning</t>
  </si>
  <si>
    <t>Weekly</t>
  </si>
  <si>
    <t>Pool Water</t>
  </si>
  <si>
    <t>Water Dispenser</t>
  </si>
  <si>
    <t>One-time</t>
  </si>
  <si>
    <t>Iron</t>
  </si>
  <si>
    <t>Steamer</t>
  </si>
  <si>
    <t>Pending</t>
  </si>
  <si>
    <t>In Progress</t>
  </si>
  <si>
    <t>HIGH</t>
  </si>
  <si>
    <t>MEDIUM</t>
  </si>
  <si>
    <t>LOW</t>
  </si>
  <si>
    <t>Bottled Water</t>
  </si>
  <si>
    <t>Towels</t>
  </si>
  <si>
    <t>Soaps</t>
  </si>
  <si>
    <t>Humidifier &amp; Oils</t>
  </si>
  <si>
    <t>Electronic Locks</t>
  </si>
  <si>
    <t>Doors</t>
  </si>
  <si>
    <t>Bedroom Desk</t>
  </si>
  <si>
    <t>Upgrade</t>
  </si>
  <si>
    <t>Flower Pots</t>
  </si>
  <si>
    <t>Front Door Canopy</t>
  </si>
  <si>
    <t>Pool Cushions</t>
  </si>
  <si>
    <t>Pool Furniture</t>
  </si>
  <si>
    <t>Smoke Detector</t>
  </si>
  <si>
    <t>Completed</t>
  </si>
  <si>
    <t>ECHOHAVEN AIRBNB - ACTIVITY &amp; INVENTORY TRACKER</t>
  </si>
  <si>
    <t>Last Updated: May 10, 2026 | Continuous Tracking System</t>
  </si>
  <si>
    <t>ID</t>
  </si>
  <si>
    <t>Qty</t>
  </si>
  <si>
    <t>Unit Cost (GHS)</t>
  </si>
  <si>
    <t>Last Completed</t>
  </si>
  <si>
    <t>Next Due Date</t>
  </si>
  <si>
    <t>Days Until Due</t>
  </si>
  <si>
    <t>Notes</t>
  </si>
  <si>
    <t>📊 DASHBOARD - SUMMARY &amp; ANALYTICS</t>
  </si>
  <si>
    <t>💰 COST SUMMARY BY FREQUENCY</t>
  </si>
  <si>
    <t>Total Cost (GHS)</t>
  </si>
  <si>
    <t>Monthly Equivalent</t>
  </si>
  <si>
    <t>TOTAL</t>
  </si>
  <si>
    <t>📋 STATUS SUMMARY</t>
  </si>
  <si>
    <t>Count</t>
  </si>
  <si>
    <t>% of Total</t>
  </si>
  <si>
    <t>On Hold</t>
  </si>
  <si>
    <t>🎯 PRIORITY SUMMARY</t>
  </si>
  <si>
    <t>Total Cost</t>
  </si>
  <si>
    <t>📁 CATEGORY BREAKDOWN</t>
  </si>
  <si>
    <t>Items</t>
  </si>
  <si>
    <t>% of Budget</t>
  </si>
  <si>
    <t>Other</t>
  </si>
  <si>
    <t>⚡ KEY METRICS</t>
  </si>
  <si>
    <t>Total Items</t>
  </si>
  <si>
    <t>Items Pending</t>
  </si>
  <si>
    <t>Items In Progress</t>
  </si>
  <si>
    <t>Items Completed</t>
  </si>
  <si>
    <t>Overdue Items</t>
  </si>
  <si>
    <t>Due This Week</t>
  </si>
  <si>
    <t>Estimated Monthly Cost</t>
  </si>
  <si>
    <t>📝 HOW TO USE</t>
  </si>
  <si>
    <t>1. Enter 'Last Completed' date when task is done
2. Enter 'Next Due Date' based on frequency
3. Update 'Status' using dropdown
4. 'Days Until Due' auto-calculates
5. Color codes: RED=Overdue, ORANGE=Soon
6. Add notes for special instructions
7. Dashboard updates automatically</t>
  </si>
  <si>
    <t>📋 ACTIVITY LOG - HISTORICAL RECORD</t>
  </si>
  <si>
    <t>Log each completed activity here for audit trail and reporting</t>
  </si>
  <si>
    <t>Log ID</t>
  </si>
  <si>
    <t>Date Completed</t>
  </si>
  <si>
    <t>Item ID</t>
  </si>
  <si>
    <t>Cost (GHS)</t>
  </si>
  <si>
    <t>Performed By</t>
  </si>
  <si>
    <t>Notes/Comments</t>
  </si>
  <si>
    <t>📊 LOG SUMMARY</t>
  </si>
  <si>
    <t>Total Entries</t>
  </si>
  <si>
    <t>Total Cost Logged</t>
  </si>
  <si>
    <t>This Month Entries</t>
  </si>
  <si>
    <t>This Month Cost</t>
  </si>
  <si>
    <t>Last Entry Date</t>
  </si>
  <si>
    <t>Most Frequent</t>
  </si>
  <si>
    <t>1. Add row for each completed task</t>
  </si>
  <si>
    <t>2. Enter Date Completed</t>
  </si>
  <si>
    <t>3. Enter Item ID (1-28)</t>
  </si>
  <si>
    <t>4. Type Item/Description</t>
  </si>
  <si>
    <t>5. Select Category from dropdown</t>
  </si>
  <si>
    <t>6. Enter Cost paid (GHS)</t>
  </si>
  <si>
    <t>7. Add Performer &amp;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</si>
</sst>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i/>
      <sz val="11"/>
      <color rgb="FF1F4E79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F5496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9EF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9F9F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6" fillId="4" borderId="0" xfId="0" applyFont="1" applyFill="1" applyAlignment="1">
      <alignment horizontal="center"/>
    </xf>
    <xf numFmtId="4" fontId="0" fillId="0" borderId="0" xfId="0" applyNumberFormat="1"/>
    <xf numFmtId="165" fontId="0" fillId="0" borderId="0" xfId="0" applyNumberFormat="1"/>
    <xf numFmtId="0" fontId="0" fillId="5" borderId="0" xfId="0" applyFill="1"/>
    <xf numFmtId="0" fontId="0" fillId="6" borderId="0" xfId="0" applyFill="1"/>
    <xf numFmtId="0" fontId="7" fillId="2" borderId="0" xfId="0" applyFont="1" applyFill="1" applyAlignment="1">
      <alignment horizontal="center"/>
    </xf>
    <xf numFmtId="0" fontId="6" fillId="4" borderId="0" xfId="0" applyFont="1" applyFill="1"/>
    <xf numFmtId="0" fontId="2" fillId="3" borderId="0" xfId="0" applyFont="1" applyFill="1"/>
    <xf numFmtId="4" fontId="6" fillId="4" borderId="0" xfId="0" applyNumberFormat="1" applyFont="1" applyFill="1"/>
    <xf numFmtId="9" fontId="0" fillId="0" borderId="0" xfId="0" applyNumberFormat="1"/>
    <xf numFmtId="9" fontId="6" fillId="4" borderId="0" xfId="0" applyNumberFormat="1" applyFont="1" applyFill="1"/>
    <xf numFmtId="0" fontId="1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7" borderId="0" xfId="0" applyFill="1" applyAlignment="1">
      <alignment vertical="top" wrapText="1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4" fontId="0" fillId="5" borderId="0" xfId="0" applyNumberFormat="1" applyFill="1" applyAlignment="1">
      <alignment horizontal="right"/>
    </xf>
    <xf numFmtId="4" fontId="0" fillId="6" borderId="0" xfId="0" applyNumberFormat="1" applyFill="1" applyAlignment="1">
      <alignment horizontal="right"/>
    </xf>
    <xf numFmtId="165" fontId="0" fillId="5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6" fillId="10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9" borderId="0" xfId="0" applyFont="1" applyFill="1"/>
    <xf numFmtId="0" fontId="2" fillId="9" borderId="0" xfId="0" applyFont="1" applyFill="1"/>
    <xf numFmtId="0" fontId="6" fillId="10" borderId="0" xfId="0" applyFont="1" applyFill="1"/>
    <xf numFmtId="0" fontId="0" fillId="11" borderId="0" xfId="0" applyFill="1" applyAlignment="1">
      <alignment wrapText="1"/>
    </xf>
    <xf numFmtId="0" fontId="0" fillId="0" borderId="0" xfId="0" applyAlignment="1">
      <alignment wrapText="1"/>
    </xf>
    <xf numFmtId="0" fontId="0" fillId="12" borderId="0" xfId="0" applyFill="1"/>
    <xf numFmtId="165" fontId="0" fillId="12" borderId="0" xfId="0" applyNumberFormat="1" applyFill="1"/>
    <xf numFmtId="4" fontId="0" fillId="12" borderId="0" xfId="0" applyNumberFormat="1" applyFill="1"/>
    <xf numFmtId="0" fontId="9" fillId="0" borderId="0" xfId="0" applyFont="1"/>
  </cellXfs>
  <cellStyles count="1">
    <cellStyle name="Normal" xfId="0" builtinId="0"/>
  </cellStyles>
  <dxfs count="15">
    <dxf>
      <fill>
        <patternFill patternType="solid">
          <fgColor indexed="64"/>
          <bgColor rgb="FFFFC107"/>
        </patternFill>
      </fill>
    </dxf>
    <dxf>
      <font>
        <b/>
        <i val="0"/>
      </font>
      <fill>
        <patternFill patternType="solid">
          <fgColor indexed="64"/>
          <bgColor rgb="FFFD7E14"/>
        </patternFill>
      </fill>
    </dxf>
    <dxf>
      <font>
        <b/>
        <i val="0"/>
        <color rgb="FFFFFFFF"/>
      </font>
      <fill>
        <patternFill patternType="solid">
          <fgColor indexed="64"/>
          <bgColor rgb="FFDC3545"/>
        </patternFill>
      </fill>
    </dxf>
    <dxf>
      <fill>
        <patternFill patternType="solid">
          <fgColor indexed="64"/>
          <bgColor rgb="FFFFC107"/>
        </patternFill>
      </fill>
    </dxf>
    <dxf>
      <font>
        <color rgb="FFFFFFFF"/>
      </font>
      <fill>
        <patternFill patternType="solid">
          <fgColor indexed="64"/>
          <bgColor rgb="FF17A2B8"/>
        </patternFill>
      </fill>
    </dxf>
    <dxf>
      <font>
        <color rgb="FFFFFFFF"/>
      </font>
      <fill>
        <patternFill patternType="solid">
          <fgColor indexed="64"/>
          <bgColor rgb="FF28A745"/>
        </patternFill>
      </fill>
    </dxf>
    <dxf>
      <font>
        <b/>
        <i val="0"/>
      </font>
      <fill>
        <patternFill patternType="solid">
          <fgColor indexed="64"/>
          <bgColor rgb="FF77DD77"/>
        </patternFill>
      </fill>
    </dxf>
    <dxf>
      <font>
        <b/>
        <i val="0"/>
      </font>
      <fill>
        <patternFill patternType="solid">
          <fgColor indexed="64"/>
          <bgColor rgb="FFFFB347"/>
        </patternFill>
      </fill>
    </dxf>
    <dxf>
      <font>
        <b/>
        <i val="0"/>
        <color rgb="FFFFFFFF"/>
      </font>
      <fill>
        <patternFill patternType="solid">
          <fgColor indexed="64"/>
          <bgColor rgb="FFFF6B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"/>
  <sheetViews>
    <sheetView tabSelected="1" workbookViewId="0">
      <pane ySplit="3" topLeftCell="A4" activePane="bottomLeft" state="frozen"/>
      <selection pane="bottomLeft" activeCell="P16" sqref="P16"/>
    </sheetView>
  </sheetViews>
  <sheetFormatPr baseColWidth="10" defaultColWidth="8.83203125" defaultRowHeight="15" x14ac:dyDescent="0.2"/>
  <cols>
    <col min="1" max="1" width="5.83203125" customWidth="1"/>
    <col min="2" max="2" width="30" customWidth="1"/>
    <col min="3" max="3" width="15" customWidth="1"/>
    <col min="4" max="4" width="10.83203125" customWidth="1"/>
    <col min="5" max="5" width="7.5" customWidth="1"/>
    <col min="6" max="6" width="16.6640625" style="2" customWidth="1"/>
    <col min="7" max="7" width="12.5" customWidth="1"/>
    <col min="8" max="8" width="14.1640625" customWidth="1"/>
    <col min="9" max="10" width="16.6640625" customWidth="1"/>
    <col min="11" max="11" width="15.83203125" customWidth="1"/>
    <col min="12" max="12" width="25" customWidth="1"/>
  </cols>
  <sheetData>
    <row r="1" spans="1:12" ht="30" customHeight="1" x14ac:dyDescent="0.25">
      <c r="A1" s="3" t="s">
        <v>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x14ac:dyDescent="0.2">
      <c r="A2" s="4" t="s">
        <v>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 ht="25" customHeight="1" x14ac:dyDescent="0.2">
      <c r="A3" s="6" t="s">
        <v>51</v>
      </c>
      <c r="B3" s="6" t="s">
        <v>1</v>
      </c>
      <c r="C3" s="6" t="s">
        <v>2</v>
      </c>
      <c r="D3" s="6" t="s">
        <v>0</v>
      </c>
      <c r="E3" s="6" t="s">
        <v>52</v>
      </c>
      <c r="F3" s="6" t="s">
        <v>53</v>
      </c>
      <c r="G3" s="6" t="s">
        <v>3</v>
      </c>
      <c r="H3" s="6" t="s">
        <v>4</v>
      </c>
      <c r="I3" s="6" t="s">
        <v>54</v>
      </c>
      <c r="J3" s="6" t="s">
        <v>55</v>
      </c>
      <c r="K3" s="6" t="s">
        <v>56</v>
      </c>
      <c r="L3" s="6" t="s">
        <v>57</v>
      </c>
    </row>
    <row r="4" spans="1:12" x14ac:dyDescent="0.2">
      <c r="A4" s="20">
        <v>1</v>
      </c>
      <c r="B4" s="9" t="s">
        <v>5</v>
      </c>
      <c r="C4" s="9" t="s">
        <v>6</v>
      </c>
      <c r="D4" s="20" t="s">
        <v>32</v>
      </c>
      <c r="E4" s="20"/>
      <c r="F4" s="22">
        <v>500</v>
      </c>
      <c r="G4" s="20" t="s">
        <v>7</v>
      </c>
      <c r="H4" s="20" t="s">
        <v>31</v>
      </c>
      <c r="I4" s="24"/>
      <c r="J4" s="24"/>
      <c r="K4" s="20" t="str">
        <f ca="1">IF(J4="","",J4-TODAY())</f>
        <v/>
      </c>
      <c r="L4" s="9"/>
    </row>
    <row r="5" spans="1:12" x14ac:dyDescent="0.2">
      <c r="A5" s="21">
        <v>2</v>
      </c>
      <c r="B5" s="10" t="s">
        <v>8</v>
      </c>
      <c r="C5" s="10" t="s">
        <v>6</v>
      </c>
      <c r="D5" s="21" t="s">
        <v>32</v>
      </c>
      <c r="E5" s="21">
        <v>2</v>
      </c>
      <c r="F5" s="23">
        <v>500</v>
      </c>
      <c r="G5" s="21" t="s">
        <v>7</v>
      </c>
      <c r="H5" s="21" t="s">
        <v>30</v>
      </c>
      <c r="I5" s="25"/>
      <c r="J5" s="25"/>
      <c r="K5" s="21" t="str">
        <f ca="1">IF(J5="","",J5-TODAY())</f>
        <v/>
      </c>
      <c r="L5" s="10"/>
    </row>
    <row r="6" spans="1:12" x14ac:dyDescent="0.2">
      <c r="A6" s="20">
        <v>3</v>
      </c>
      <c r="B6" s="9" t="s">
        <v>9</v>
      </c>
      <c r="C6" s="9" t="s">
        <v>10</v>
      </c>
      <c r="D6" s="20" t="s">
        <v>33</v>
      </c>
      <c r="E6" s="20"/>
      <c r="F6" s="22">
        <v>1500</v>
      </c>
      <c r="G6" s="20" t="s">
        <v>11</v>
      </c>
      <c r="H6" s="20" t="s">
        <v>30</v>
      </c>
      <c r="I6" s="24"/>
      <c r="J6" s="24"/>
      <c r="K6" s="20" t="str">
        <f ca="1">IF(J6="","",J6-TODAY())</f>
        <v/>
      </c>
      <c r="L6" s="9"/>
    </row>
    <row r="7" spans="1:12" x14ac:dyDescent="0.2">
      <c r="A7" s="21">
        <v>4</v>
      </c>
      <c r="B7" s="10" t="s">
        <v>12</v>
      </c>
      <c r="C7" s="10" t="s">
        <v>6</v>
      </c>
      <c r="D7" s="21" t="s">
        <v>33</v>
      </c>
      <c r="E7" s="21"/>
      <c r="F7" s="23">
        <v>250</v>
      </c>
      <c r="G7" s="21" t="s">
        <v>7</v>
      </c>
      <c r="H7" s="21" t="s">
        <v>30</v>
      </c>
      <c r="I7" s="25"/>
      <c r="J7" s="25"/>
      <c r="K7" s="21" t="str">
        <f ca="1">IF(J7="","",J7-TODAY())</f>
        <v/>
      </c>
      <c r="L7" s="10"/>
    </row>
    <row r="8" spans="1:12" x14ac:dyDescent="0.2">
      <c r="A8" s="20">
        <v>5</v>
      </c>
      <c r="B8" s="9" t="s">
        <v>13</v>
      </c>
      <c r="C8" s="9" t="s">
        <v>6</v>
      </c>
      <c r="D8" s="20" t="s">
        <v>32</v>
      </c>
      <c r="E8" s="20"/>
      <c r="F8" s="22">
        <v>1000</v>
      </c>
      <c r="G8" s="20" t="s">
        <v>7</v>
      </c>
      <c r="H8" s="20" t="s">
        <v>30</v>
      </c>
      <c r="I8" s="24"/>
      <c r="J8" s="24"/>
      <c r="K8" s="20" t="str">
        <f ca="1">IF(J8="","",J8-TODAY())</f>
        <v/>
      </c>
      <c r="L8" s="9"/>
    </row>
    <row r="9" spans="1:12" x14ac:dyDescent="0.2">
      <c r="A9" s="21">
        <v>6</v>
      </c>
      <c r="B9" s="10" t="s">
        <v>14</v>
      </c>
      <c r="C9" s="10" t="s">
        <v>15</v>
      </c>
      <c r="D9" s="21" t="s">
        <v>32</v>
      </c>
      <c r="E9" s="21">
        <v>5</v>
      </c>
      <c r="F9" s="23">
        <v>300</v>
      </c>
      <c r="G9" s="21" t="s">
        <v>16</v>
      </c>
      <c r="H9" s="21" t="s">
        <v>30</v>
      </c>
      <c r="I9" s="25"/>
      <c r="J9" s="25"/>
      <c r="K9" s="21" t="str">
        <f ca="1">IF(J9="","",J9-TODAY())</f>
        <v/>
      </c>
      <c r="L9" s="10"/>
    </row>
    <row r="10" spans="1:12" x14ac:dyDescent="0.2">
      <c r="A10" s="20">
        <v>7</v>
      </c>
      <c r="B10" s="9" t="s">
        <v>17</v>
      </c>
      <c r="C10" s="9" t="s">
        <v>18</v>
      </c>
      <c r="D10" s="20" t="s">
        <v>32</v>
      </c>
      <c r="E10" s="20"/>
      <c r="F10" s="22">
        <v>1000</v>
      </c>
      <c r="G10" s="20" t="s">
        <v>16</v>
      </c>
      <c r="H10" s="20" t="s">
        <v>30</v>
      </c>
      <c r="I10" s="24"/>
      <c r="J10" s="24"/>
      <c r="K10" s="20" t="str">
        <f ca="1">IF(J10="","",J10-TODAY())</f>
        <v/>
      </c>
      <c r="L10" s="9"/>
    </row>
    <row r="11" spans="1:12" x14ac:dyDescent="0.2">
      <c r="A11" s="21">
        <v>8</v>
      </c>
      <c r="B11" s="10" t="s">
        <v>19</v>
      </c>
      <c r="C11" s="10" t="s">
        <v>18</v>
      </c>
      <c r="D11" s="21" t="s">
        <v>33</v>
      </c>
      <c r="E11" s="21"/>
      <c r="F11" s="23">
        <v>300</v>
      </c>
      <c r="G11" s="21" t="s">
        <v>7</v>
      </c>
      <c r="H11" s="21" t="s">
        <v>30</v>
      </c>
      <c r="I11" s="25"/>
      <c r="J11" s="25"/>
      <c r="K11" s="21" t="str">
        <f ca="1">IF(J11="","",J11-TODAY())</f>
        <v/>
      </c>
      <c r="L11" s="10"/>
    </row>
    <row r="12" spans="1:12" x14ac:dyDescent="0.2">
      <c r="A12" s="20">
        <v>9</v>
      </c>
      <c r="B12" s="9" t="s">
        <v>20</v>
      </c>
      <c r="C12" s="9" t="s">
        <v>18</v>
      </c>
      <c r="D12" s="20" t="s">
        <v>33</v>
      </c>
      <c r="E12" s="20"/>
      <c r="F12" s="22">
        <v>60</v>
      </c>
      <c r="G12" s="20" t="s">
        <v>7</v>
      </c>
      <c r="H12" s="20" t="s">
        <v>30</v>
      </c>
      <c r="I12" s="24"/>
      <c r="J12" s="24"/>
      <c r="K12" s="20" t="str">
        <f ca="1">IF(J12="","",J12-TODAY())</f>
        <v/>
      </c>
      <c r="L12" s="9"/>
    </row>
    <row r="13" spans="1:12" x14ac:dyDescent="0.2">
      <c r="A13" s="21">
        <v>10</v>
      </c>
      <c r="B13" s="10" t="s">
        <v>21</v>
      </c>
      <c r="C13" s="10" t="s">
        <v>18</v>
      </c>
      <c r="D13" s="21" t="s">
        <v>33</v>
      </c>
      <c r="E13" s="21">
        <v>4</v>
      </c>
      <c r="F13" s="23">
        <v>1600</v>
      </c>
      <c r="G13" s="21" t="s">
        <v>16</v>
      </c>
      <c r="H13" s="21" t="s">
        <v>31</v>
      </c>
      <c r="I13" s="25"/>
      <c r="J13" s="25"/>
      <c r="K13" s="21" t="str">
        <f ca="1">IF(J13="","",J13-TODAY())</f>
        <v/>
      </c>
      <c r="L13" s="10"/>
    </row>
    <row r="14" spans="1:12" x14ac:dyDescent="0.2">
      <c r="A14" s="20">
        <v>11</v>
      </c>
      <c r="B14" s="9" t="s">
        <v>22</v>
      </c>
      <c r="C14" s="9" t="s">
        <v>18</v>
      </c>
      <c r="D14" s="20" t="s">
        <v>32</v>
      </c>
      <c r="E14" s="20"/>
      <c r="F14" s="22">
        <v>450</v>
      </c>
      <c r="G14" s="20" t="s">
        <v>16</v>
      </c>
      <c r="H14" s="20" t="s">
        <v>30</v>
      </c>
      <c r="I14" s="24"/>
      <c r="J14" s="24"/>
      <c r="K14" s="20" t="str">
        <f ca="1">IF(J14="","",J14-TODAY())</f>
        <v/>
      </c>
      <c r="L14" s="9"/>
    </row>
    <row r="15" spans="1:12" x14ac:dyDescent="0.2">
      <c r="A15" s="21">
        <v>12</v>
      </c>
      <c r="B15" s="10" t="s">
        <v>23</v>
      </c>
      <c r="C15" s="10" t="s">
        <v>18</v>
      </c>
      <c r="D15" s="21" t="s">
        <v>33</v>
      </c>
      <c r="E15" s="21"/>
      <c r="F15" s="23">
        <v>800</v>
      </c>
      <c r="G15" s="21" t="s">
        <v>7</v>
      </c>
      <c r="H15" s="21" t="s">
        <v>30</v>
      </c>
      <c r="I15" s="25"/>
      <c r="J15" s="25"/>
      <c r="K15" s="21" t="str">
        <f ca="1">IF(J15="","",J15-TODAY())</f>
        <v/>
      </c>
      <c r="L15" s="10"/>
    </row>
    <row r="16" spans="1:12" x14ac:dyDescent="0.2">
      <c r="A16" s="20">
        <v>13</v>
      </c>
      <c r="B16" s="9" t="s">
        <v>25</v>
      </c>
      <c r="C16" s="9" t="s">
        <v>6</v>
      </c>
      <c r="D16" s="20" t="s">
        <v>32</v>
      </c>
      <c r="E16" s="20">
        <v>2</v>
      </c>
      <c r="F16" s="22">
        <v>500</v>
      </c>
      <c r="G16" s="20" t="s">
        <v>7</v>
      </c>
      <c r="H16" s="20" t="s">
        <v>30</v>
      </c>
      <c r="I16" s="24"/>
      <c r="J16" s="24"/>
      <c r="K16" s="20" t="str">
        <f ca="1">IF(J16="","",J16-TODAY())</f>
        <v/>
      </c>
      <c r="L16" s="9"/>
    </row>
    <row r="17" spans="1:12" x14ac:dyDescent="0.2">
      <c r="A17" s="21">
        <v>14</v>
      </c>
      <c r="B17" s="10" t="s">
        <v>26</v>
      </c>
      <c r="C17" s="10" t="s">
        <v>15</v>
      </c>
      <c r="D17" s="21" t="s">
        <v>33</v>
      </c>
      <c r="E17" s="21">
        <v>1</v>
      </c>
      <c r="F17" s="23">
        <v>2000</v>
      </c>
      <c r="G17" s="21" t="s">
        <v>27</v>
      </c>
      <c r="H17" s="21" t="s">
        <v>30</v>
      </c>
      <c r="I17" s="25"/>
      <c r="J17" s="25"/>
      <c r="K17" s="21" t="str">
        <f ca="1">IF(J17="","",J17-TODAY())</f>
        <v/>
      </c>
      <c r="L17" s="10"/>
    </row>
    <row r="18" spans="1:12" x14ac:dyDescent="0.2">
      <c r="A18" s="20">
        <v>15</v>
      </c>
      <c r="B18" s="9" t="s">
        <v>28</v>
      </c>
      <c r="C18" s="9" t="s">
        <v>15</v>
      </c>
      <c r="D18" s="20" t="s">
        <v>34</v>
      </c>
      <c r="E18" s="20">
        <v>1</v>
      </c>
      <c r="F18" s="22">
        <v>500</v>
      </c>
      <c r="G18" s="20" t="s">
        <v>27</v>
      </c>
      <c r="H18" s="20" t="s">
        <v>30</v>
      </c>
      <c r="I18" s="24"/>
      <c r="J18" s="24"/>
      <c r="K18" s="20" t="str">
        <f ca="1">IF(J18="","",J18-TODAY())</f>
        <v/>
      </c>
      <c r="L18" s="9"/>
    </row>
    <row r="19" spans="1:12" x14ac:dyDescent="0.2">
      <c r="A19" s="21">
        <v>16</v>
      </c>
      <c r="B19" s="10" t="s">
        <v>29</v>
      </c>
      <c r="C19" s="10" t="s">
        <v>15</v>
      </c>
      <c r="D19" s="21" t="s">
        <v>34</v>
      </c>
      <c r="E19" s="21">
        <v>1</v>
      </c>
      <c r="F19" s="23">
        <v>500</v>
      </c>
      <c r="G19" s="21" t="s">
        <v>27</v>
      </c>
      <c r="H19" s="21" t="s">
        <v>30</v>
      </c>
      <c r="I19" s="25"/>
      <c r="J19" s="25"/>
      <c r="K19" s="21" t="str">
        <f ca="1">IF(J19="","",J19-TODAY())</f>
        <v/>
      </c>
      <c r="L19" s="10"/>
    </row>
    <row r="20" spans="1:12" x14ac:dyDescent="0.2">
      <c r="A20" s="20">
        <v>17</v>
      </c>
      <c r="B20" s="9" t="s">
        <v>35</v>
      </c>
      <c r="C20" s="9" t="s">
        <v>6</v>
      </c>
      <c r="D20" s="20" t="s">
        <v>33</v>
      </c>
      <c r="E20" s="20"/>
      <c r="F20" s="22">
        <v>300</v>
      </c>
      <c r="G20" s="20" t="s">
        <v>24</v>
      </c>
      <c r="H20" s="20" t="s">
        <v>30</v>
      </c>
      <c r="I20" s="24"/>
      <c r="J20" s="24"/>
      <c r="K20" s="20" t="str">
        <f ca="1">IF(J20="","",J20-TODAY())</f>
        <v/>
      </c>
      <c r="L20" s="9"/>
    </row>
    <row r="21" spans="1:12" x14ac:dyDescent="0.2">
      <c r="A21" s="21">
        <v>18</v>
      </c>
      <c r="B21" s="10" t="s">
        <v>36</v>
      </c>
      <c r="C21" s="10" t="s">
        <v>15</v>
      </c>
      <c r="D21" s="21" t="s">
        <v>34</v>
      </c>
      <c r="E21" s="21"/>
      <c r="F21" s="23">
        <v>500</v>
      </c>
      <c r="G21" s="21" t="s">
        <v>11</v>
      </c>
      <c r="H21" s="21" t="s">
        <v>30</v>
      </c>
      <c r="I21" s="25"/>
      <c r="J21" s="25"/>
      <c r="K21" s="21" t="str">
        <f ca="1">IF(J21="","",J21-TODAY())</f>
        <v/>
      </c>
      <c r="L21" s="10"/>
    </row>
    <row r="22" spans="1:12" x14ac:dyDescent="0.2">
      <c r="A22" s="20">
        <v>19</v>
      </c>
      <c r="B22" s="9" t="s">
        <v>37</v>
      </c>
      <c r="C22" s="9" t="s">
        <v>15</v>
      </c>
      <c r="D22" s="20" t="s">
        <v>34</v>
      </c>
      <c r="E22" s="20"/>
      <c r="F22" s="22">
        <v>500</v>
      </c>
      <c r="G22" s="20" t="s">
        <v>11</v>
      </c>
      <c r="H22" s="20" t="s">
        <v>30</v>
      </c>
      <c r="I22" s="24"/>
      <c r="J22" s="24"/>
      <c r="K22" s="20" t="str">
        <f ca="1">IF(J22="","",J22-TODAY())</f>
        <v/>
      </c>
      <c r="L22" s="9"/>
    </row>
    <row r="23" spans="1:12" x14ac:dyDescent="0.2">
      <c r="A23" s="21">
        <v>20</v>
      </c>
      <c r="B23" s="10" t="s">
        <v>38</v>
      </c>
      <c r="C23" s="10" t="s">
        <v>15</v>
      </c>
      <c r="D23" s="21" t="s">
        <v>34</v>
      </c>
      <c r="E23" s="21"/>
      <c r="F23" s="23">
        <v>500</v>
      </c>
      <c r="G23" s="21" t="s">
        <v>11</v>
      </c>
      <c r="H23" s="21" t="s">
        <v>30</v>
      </c>
      <c r="I23" s="25"/>
      <c r="J23" s="25"/>
      <c r="K23" s="21" t="str">
        <f ca="1">IF(J23="","",J23-TODAY())</f>
        <v/>
      </c>
      <c r="L23" s="10"/>
    </row>
    <row r="24" spans="1:12" x14ac:dyDescent="0.2">
      <c r="A24" s="20">
        <v>21</v>
      </c>
      <c r="B24" s="9" t="s">
        <v>39</v>
      </c>
      <c r="C24" s="9" t="s">
        <v>42</v>
      </c>
      <c r="D24" s="20" t="s">
        <v>34</v>
      </c>
      <c r="E24" s="20"/>
      <c r="F24" s="22"/>
      <c r="G24" s="20" t="s">
        <v>27</v>
      </c>
      <c r="H24" s="20" t="s">
        <v>30</v>
      </c>
      <c r="I24" s="24"/>
      <c r="J24" s="24"/>
      <c r="K24" s="20" t="str">
        <f ca="1">IF(J24="","",J24-TODAY())</f>
        <v/>
      </c>
      <c r="L24" s="9"/>
    </row>
    <row r="25" spans="1:12" x14ac:dyDescent="0.2">
      <c r="A25" s="21">
        <v>22</v>
      </c>
      <c r="B25" s="10" t="s">
        <v>40</v>
      </c>
      <c r="C25" s="10" t="s">
        <v>42</v>
      </c>
      <c r="D25" s="21" t="s">
        <v>34</v>
      </c>
      <c r="E25" s="21"/>
      <c r="F25" s="23"/>
      <c r="G25" s="21" t="s">
        <v>27</v>
      </c>
      <c r="H25" s="21" t="s">
        <v>30</v>
      </c>
      <c r="I25" s="25"/>
      <c r="J25" s="25"/>
      <c r="K25" s="21" t="str">
        <f ca="1">IF(J25="","",J25-TODAY())</f>
        <v/>
      </c>
      <c r="L25" s="10"/>
    </row>
    <row r="26" spans="1:12" x14ac:dyDescent="0.2">
      <c r="A26" s="20">
        <v>23</v>
      </c>
      <c r="B26" s="9" t="s">
        <v>41</v>
      </c>
      <c r="C26" s="9" t="s">
        <v>42</v>
      </c>
      <c r="D26" s="20" t="s">
        <v>34</v>
      </c>
      <c r="E26" s="20"/>
      <c r="F26" s="22"/>
      <c r="G26" s="20" t="s">
        <v>27</v>
      </c>
      <c r="H26" s="20" t="s">
        <v>30</v>
      </c>
      <c r="I26" s="24"/>
      <c r="J26" s="24"/>
      <c r="K26" s="20" t="str">
        <f ca="1">IF(J26="","",J26-TODAY())</f>
        <v/>
      </c>
      <c r="L26" s="9"/>
    </row>
    <row r="27" spans="1:12" x14ac:dyDescent="0.2">
      <c r="A27" s="21">
        <v>24</v>
      </c>
      <c r="B27" s="10" t="s">
        <v>43</v>
      </c>
      <c r="C27" s="10" t="s">
        <v>42</v>
      </c>
      <c r="D27" s="21" t="s">
        <v>34</v>
      </c>
      <c r="E27" s="21"/>
      <c r="F27" s="23"/>
      <c r="G27" s="21" t="s">
        <v>27</v>
      </c>
      <c r="H27" s="21" t="s">
        <v>30</v>
      </c>
      <c r="I27" s="25"/>
      <c r="J27" s="25"/>
      <c r="K27" s="21" t="str">
        <f ca="1">IF(J27="","",J27-TODAY())</f>
        <v/>
      </c>
      <c r="L27" s="10"/>
    </row>
    <row r="28" spans="1:12" x14ac:dyDescent="0.2">
      <c r="A28" s="20">
        <v>25</v>
      </c>
      <c r="B28" s="9" t="s">
        <v>44</v>
      </c>
      <c r="C28" s="9" t="s">
        <v>42</v>
      </c>
      <c r="D28" s="20" t="s">
        <v>34</v>
      </c>
      <c r="E28" s="20"/>
      <c r="F28" s="22"/>
      <c r="G28" s="20" t="s">
        <v>27</v>
      </c>
      <c r="H28" s="20" t="s">
        <v>30</v>
      </c>
      <c r="I28" s="24"/>
      <c r="J28" s="24"/>
      <c r="K28" s="20" t="str">
        <f ca="1">IF(J28="","",J28-TODAY())</f>
        <v/>
      </c>
      <c r="L28" s="9"/>
    </row>
    <row r="29" spans="1:12" x14ac:dyDescent="0.2">
      <c r="A29" s="21">
        <v>26</v>
      </c>
      <c r="B29" s="10" t="s">
        <v>45</v>
      </c>
      <c r="C29" s="10" t="s">
        <v>42</v>
      </c>
      <c r="D29" s="21" t="s">
        <v>34</v>
      </c>
      <c r="E29" s="21"/>
      <c r="F29" s="23"/>
      <c r="G29" s="21" t="s">
        <v>27</v>
      </c>
      <c r="H29" s="21" t="s">
        <v>30</v>
      </c>
      <c r="I29" s="25"/>
      <c r="J29" s="25"/>
      <c r="K29" s="21" t="str">
        <f ca="1">IF(J29="","",J29-TODAY())</f>
        <v/>
      </c>
      <c r="L29" s="10"/>
    </row>
    <row r="30" spans="1:12" x14ac:dyDescent="0.2">
      <c r="A30" s="20">
        <v>27</v>
      </c>
      <c r="B30" s="9" t="s">
        <v>46</v>
      </c>
      <c r="C30" s="9" t="s">
        <v>42</v>
      </c>
      <c r="D30" s="20" t="s">
        <v>34</v>
      </c>
      <c r="E30" s="20"/>
      <c r="F30" s="22"/>
      <c r="G30" s="20" t="s">
        <v>27</v>
      </c>
      <c r="H30" s="20" t="s">
        <v>30</v>
      </c>
      <c r="I30" s="24"/>
      <c r="J30" s="24"/>
      <c r="K30" s="20" t="str">
        <f ca="1">IF(J30="","",J30-TODAY())</f>
        <v/>
      </c>
      <c r="L30" s="9"/>
    </row>
    <row r="31" spans="1:12" x14ac:dyDescent="0.2">
      <c r="A31" s="21">
        <v>28</v>
      </c>
      <c r="B31" s="10" t="s">
        <v>47</v>
      </c>
      <c r="C31" s="10" t="s">
        <v>10</v>
      </c>
      <c r="D31" s="21" t="s">
        <v>33</v>
      </c>
      <c r="E31" s="21"/>
      <c r="F31" s="23"/>
      <c r="G31" s="21" t="s">
        <v>27</v>
      </c>
      <c r="H31" s="21" t="s">
        <v>30</v>
      </c>
      <c r="I31" s="25"/>
      <c r="J31" s="25"/>
      <c r="K31" s="21" t="str">
        <f ca="1">IF(J31="","",J31-TODAY())</f>
        <v/>
      </c>
      <c r="L31" s="10"/>
    </row>
    <row r="32" spans="1:12" x14ac:dyDescent="0.2">
      <c r="F32"/>
    </row>
    <row r="33" spans="1:12" x14ac:dyDescent="0.2">
      <c r="F33"/>
    </row>
    <row r="34" spans="1:12" ht="28" customHeight="1" x14ac:dyDescent="0.25">
      <c r="A34" s="11" t="s">
        <v>58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spans="1:12" x14ac:dyDescent="0.2">
      <c r="F35"/>
    </row>
    <row r="36" spans="1:12" x14ac:dyDescent="0.2">
      <c r="A36" s="12" t="s">
        <v>59</v>
      </c>
      <c r="B36" s="12"/>
      <c r="C36" s="12"/>
      <c r="E36" s="12" t="s">
        <v>63</v>
      </c>
      <c r="F36" s="12"/>
      <c r="G36" s="12"/>
      <c r="I36" s="12" t="s">
        <v>67</v>
      </c>
      <c r="J36" s="12"/>
      <c r="K36" s="12"/>
    </row>
    <row r="37" spans="1:12" x14ac:dyDescent="0.2">
      <c r="A37" s="13" t="s">
        <v>3</v>
      </c>
      <c r="B37" s="13" t="s">
        <v>60</v>
      </c>
      <c r="C37" s="13" t="s">
        <v>61</v>
      </c>
      <c r="E37" s="13" t="s">
        <v>4</v>
      </c>
      <c r="F37" s="13" t="s">
        <v>64</v>
      </c>
      <c r="G37" s="13" t="s">
        <v>65</v>
      </c>
      <c r="I37" s="13" t="s">
        <v>0</v>
      </c>
      <c r="J37" s="13" t="s">
        <v>64</v>
      </c>
      <c r="K37" s="13" t="s">
        <v>68</v>
      </c>
    </row>
    <row r="38" spans="1:12" x14ac:dyDescent="0.2">
      <c r="A38" t="s">
        <v>24</v>
      </c>
      <c r="B38" s="7">
        <f>SUMIF($G$4:$G$31,A38,$F$4:$F$31)</f>
        <v>300</v>
      </c>
      <c r="C38" s="7">
        <f>B38*4</f>
        <v>1200</v>
      </c>
      <c r="E38" t="s">
        <v>30</v>
      </c>
      <c r="F38">
        <f>COUNTIF($H$4:$H$31,E38)</f>
        <v>26</v>
      </c>
      <c r="G38" s="15">
        <f ca="1">IF(G$42=0,0,F38/G$42)</f>
        <v>0</v>
      </c>
      <c r="I38" t="s">
        <v>32</v>
      </c>
      <c r="J38">
        <f>COUNTIF($D$4:$D$31,I38)</f>
        <v>7</v>
      </c>
      <c r="K38" s="7">
        <f>SUMIF($D$4:$D$31,I38,$F$4:$F$31)</f>
        <v>4250</v>
      </c>
    </row>
    <row r="39" spans="1:12" x14ac:dyDescent="0.2">
      <c r="A39" t="s">
        <v>7</v>
      </c>
      <c r="B39" s="7">
        <f>SUMIF($G$4:$G$31,A39,$F$4:$F$31)</f>
        <v>3910</v>
      </c>
      <c r="C39" s="7">
        <f>B39</f>
        <v>3910</v>
      </c>
      <c r="E39" t="s">
        <v>31</v>
      </c>
      <c r="F39">
        <f>COUNTIF($H$4:$H$31,E39)</f>
        <v>2</v>
      </c>
      <c r="G39" s="15">
        <f ca="1">IF(G$42=0,0,F39/G$42)</f>
        <v>0</v>
      </c>
      <c r="I39" t="s">
        <v>33</v>
      </c>
      <c r="J39">
        <f>COUNTIF($D$4:$D$31,I39)</f>
        <v>9</v>
      </c>
      <c r="K39" s="7">
        <f>SUMIF($D$4:$D$31,I39,$F$4:$F$31)</f>
        <v>6810</v>
      </c>
    </row>
    <row r="40" spans="1:12" x14ac:dyDescent="0.2">
      <c r="A40" t="s">
        <v>16</v>
      </c>
      <c r="B40" s="7">
        <f>SUMIF($G$4:$G$31,A40,$F$4:$F$31)</f>
        <v>3350</v>
      </c>
      <c r="C40" s="7">
        <f>B40/3</f>
        <v>1116.6666666666667</v>
      </c>
      <c r="E40" t="s">
        <v>48</v>
      </c>
      <c r="F40">
        <f>COUNTIF($H$4:$H$31,E40)</f>
        <v>0</v>
      </c>
      <c r="G40" s="15">
        <f ca="1">IF(G$42=0,0,F40/G$42)</f>
        <v>0</v>
      </c>
      <c r="I40" t="s">
        <v>34</v>
      </c>
      <c r="J40">
        <f>COUNTIF($D$4:$D$31,I40)</f>
        <v>12</v>
      </c>
      <c r="K40" s="7">
        <f>SUMIF($D$4:$D$31,I40,$F$4:$F$31)</f>
        <v>2500</v>
      </c>
    </row>
    <row r="41" spans="1:12" x14ac:dyDescent="0.2">
      <c r="A41" t="s">
        <v>11</v>
      </c>
      <c r="B41" s="7">
        <f>SUMIF($G$4:$G$31,A41,$F$4:$F$31)</f>
        <v>3000</v>
      </c>
      <c r="C41" s="7">
        <f>B41/12</f>
        <v>250</v>
      </c>
      <c r="E41" t="s">
        <v>66</v>
      </c>
      <c r="F41">
        <f>COUNTIF($H$4:$H$31,E41)</f>
        <v>0</v>
      </c>
      <c r="G41" s="15">
        <f ca="1">IF(G$42=0,0,F41/G$42)</f>
        <v>0</v>
      </c>
      <c r="I41" s="5" t="s">
        <v>62</v>
      </c>
      <c r="J41" s="5">
        <f>SUM(J38:J40)</f>
        <v>28</v>
      </c>
      <c r="K41" s="14">
        <f>SUM(K38:K40)</f>
        <v>13560</v>
      </c>
    </row>
    <row r="42" spans="1:12" x14ac:dyDescent="0.2">
      <c r="A42" t="s">
        <v>27</v>
      </c>
      <c r="B42" s="7">
        <f>SUMIF($G$4:$G$31,A42,$F$4:$F$31)</f>
        <v>3000</v>
      </c>
      <c r="C42" s="7">
        <f>B42</f>
        <v>3000</v>
      </c>
      <c r="E42" s="5" t="s">
        <v>62</v>
      </c>
      <c r="F42" s="5">
        <f>SUM(F38:F41)</f>
        <v>28</v>
      </c>
      <c r="G42" s="16">
        <f ca="1">SUM(G38:G41)</f>
        <v>0</v>
      </c>
    </row>
    <row r="43" spans="1:12" x14ac:dyDescent="0.2">
      <c r="A43" s="5" t="s">
        <v>62</v>
      </c>
      <c r="B43" s="14">
        <f>SUM(B38:B42)</f>
        <v>13560</v>
      </c>
      <c r="C43" s="14">
        <f>SUM(C38:C41)</f>
        <v>6476.666666666667</v>
      </c>
      <c r="F43"/>
    </row>
    <row r="44" spans="1:12" x14ac:dyDescent="0.2">
      <c r="F44"/>
    </row>
    <row r="45" spans="1:12" x14ac:dyDescent="0.2">
      <c r="F45"/>
    </row>
    <row r="46" spans="1:12" x14ac:dyDescent="0.2">
      <c r="A46" s="12" t="s">
        <v>69</v>
      </c>
      <c r="B46" s="12"/>
      <c r="C46" s="12"/>
      <c r="D46" s="12"/>
      <c r="F46" s="12" t="s">
        <v>73</v>
      </c>
      <c r="G46" s="12"/>
      <c r="H46" s="12"/>
      <c r="J46" s="12" t="s">
        <v>81</v>
      </c>
      <c r="K46" s="12"/>
      <c r="L46" s="12"/>
    </row>
    <row r="47" spans="1:12" ht="16" x14ac:dyDescent="0.2">
      <c r="A47" s="13" t="s">
        <v>2</v>
      </c>
      <c r="B47" s="13" t="s">
        <v>70</v>
      </c>
      <c r="C47" s="13" t="s">
        <v>68</v>
      </c>
      <c r="D47" s="13" t="s">
        <v>71</v>
      </c>
      <c r="F47" s="13" t="s">
        <v>74</v>
      </c>
      <c r="G47" s="17">
        <f>COUNTA($B$4:$B$31)</f>
        <v>28</v>
      </c>
      <c r="H47" s="17"/>
      <c r="J47" s="19" t="s">
        <v>82</v>
      </c>
      <c r="K47" s="1"/>
      <c r="L47" s="1"/>
    </row>
    <row r="48" spans="1:12" ht="16" x14ac:dyDescent="0.2">
      <c r="A48" t="s">
        <v>6</v>
      </c>
      <c r="B48">
        <f>COUNTIF($C$4:$C$31,A48)</f>
        <v>6</v>
      </c>
      <c r="C48" s="7">
        <f>SUMIF($C$4:$C$31,A48,$F$4:$F$31)</f>
        <v>3050</v>
      </c>
      <c r="D48" s="15">
        <f ca="1">IF(D$54=0,0,C48/D$54)</f>
        <v>0</v>
      </c>
      <c r="F48" s="13" t="s">
        <v>75</v>
      </c>
      <c r="G48" s="17">
        <f>COUNTIF($H$4:$H$31,"Pending")</f>
        <v>26</v>
      </c>
      <c r="H48" s="17"/>
      <c r="J48" s="1"/>
      <c r="K48" s="1"/>
      <c r="L48" s="1"/>
    </row>
    <row r="49" spans="1:12" ht="16" x14ac:dyDescent="0.2">
      <c r="A49" t="s">
        <v>18</v>
      </c>
      <c r="B49">
        <f>COUNTIF($C$4:$C$31,A49)</f>
        <v>6</v>
      </c>
      <c r="C49" s="7">
        <f>SUMIF($C$4:$C$31,A49,$F$4:$F$31)</f>
        <v>4210</v>
      </c>
      <c r="D49" s="15">
        <f ca="1">IF(D$54=0,0,C49/D$54)</f>
        <v>0</v>
      </c>
      <c r="F49" s="13" t="s">
        <v>76</v>
      </c>
      <c r="G49" s="17">
        <f>COUNTIF($H$4:$H$31,"In Progress")</f>
        <v>2</v>
      </c>
      <c r="H49" s="17"/>
      <c r="J49" s="1"/>
      <c r="K49" s="1"/>
      <c r="L49" s="1"/>
    </row>
    <row r="50" spans="1:12" ht="16" x14ac:dyDescent="0.2">
      <c r="A50" t="s">
        <v>15</v>
      </c>
      <c r="B50">
        <f>COUNTIF($C$4:$C$31,A50)</f>
        <v>7</v>
      </c>
      <c r="C50" s="7">
        <f>SUMIF($C$4:$C$31,A50,$F$4:$F$31)</f>
        <v>4800</v>
      </c>
      <c r="D50" s="15">
        <f ca="1">IF(D$54=0,0,C50/D$54)</f>
        <v>0</v>
      </c>
      <c r="F50" s="13" t="s">
        <v>77</v>
      </c>
      <c r="G50" s="17">
        <f>COUNTIF($H$4:$H$31,"Completed")</f>
        <v>0</v>
      </c>
      <c r="H50" s="17"/>
      <c r="J50" s="1"/>
      <c r="K50" s="1"/>
      <c r="L50" s="1"/>
    </row>
    <row r="51" spans="1:12" ht="16" x14ac:dyDescent="0.2">
      <c r="A51" t="s">
        <v>10</v>
      </c>
      <c r="B51">
        <f>COUNTIF($C$4:$C$31,A51)</f>
        <v>2</v>
      </c>
      <c r="C51" s="7">
        <f>SUMIF($C$4:$C$31,A51,$F$4:$F$31)</f>
        <v>1500</v>
      </c>
      <c r="D51" s="15">
        <f ca="1">IF(D$54=0,0,C51/D$54)</f>
        <v>0</v>
      </c>
      <c r="F51" s="13" t="s">
        <v>78</v>
      </c>
      <c r="G51" s="17">
        <f ca="1">COUNTIF($K$4:$K$31,"&lt;0")</f>
        <v>0</v>
      </c>
      <c r="H51" s="17"/>
      <c r="J51" s="1"/>
      <c r="K51" s="1"/>
      <c r="L51" s="1"/>
    </row>
    <row r="52" spans="1:12" ht="16" x14ac:dyDescent="0.2">
      <c r="A52" t="s">
        <v>42</v>
      </c>
      <c r="B52">
        <f>COUNTIF($C$4:$C$31,A52)</f>
        <v>7</v>
      </c>
      <c r="C52" s="7">
        <f>SUMIF($C$4:$C$31,A52,$F$4:$F$31)</f>
        <v>0</v>
      </c>
      <c r="D52" s="15">
        <f ca="1">IF(D$54=0,0,C52/D$54)</f>
        <v>0</v>
      </c>
      <c r="F52" s="13" t="s">
        <v>79</v>
      </c>
      <c r="G52" s="17">
        <f ca="1">COUNTIFS($K$4:$K$31,"&gt;=0",$K$4:$K$31,"&lt;=7")</f>
        <v>0</v>
      </c>
      <c r="H52" s="17"/>
      <c r="J52" s="1"/>
      <c r="K52" s="1"/>
      <c r="L52" s="1"/>
    </row>
    <row r="53" spans="1:12" ht="16" x14ac:dyDescent="0.2">
      <c r="A53" t="s">
        <v>72</v>
      </c>
      <c r="B53">
        <f>COUNTIF($C$4:$C$31,A53)</f>
        <v>0</v>
      </c>
      <c r="C53" s="7">
        <f>SUMIF($C$4:$C$31,A53,$F$4:$F$31)</f>
        <v>0</v>
      </c>
      <c r="D53" s="15">
        <f ca="1">IF(D$54=0,0,C53/D$54)</f>
        <v>0</v>
      </c>
      <c r="F53" s="13" t="s">
        <v>80</v>
      </c>
      <c r="G53" s="18">
        <f>C43</f>
        <v>6476.666666666667</v>
      </c>
      <c r="H53" s="18"/>
      <c r="J53" s="38"/>
      <c r="K53" s="1"/>
      <c r="L53" s="1"/>
    </row>
    <row r="54" spans="1:12" x14ac:dyDescent="0.2">
      <c r="A54" s="5" t="s">
        <v>62</v>
      </c>
      <c r="B54" s="5">
        <f>SUM(B48:B53)</f>
        <v>28</v>
      </c>
      <c r="C54" s="14">
        <f>SUM(C48:C53)</f>
        <v>13560</v>
      </c>
      <c r="D54" s="16">
        <f ca="1">SUM(D48:D53)</f>
        <v>0</v>
      </c>
      <c r="F54"/>
    </row>
    <row r="55" spans="1:12" x14ac:dyDescent="0.2">
      <c r="F55"/>
    </row>
    <row r="56" spans="1:12" x14ac:dyDescent="0.2">
      <c r="F56"/>
    </row>
    <row r="57" spans="1:12" x14ac:dyDescent="0.2">
      <c r="F57"/>
    </row>
    <row r="58" spans="1:12" x14ac:dyDescent="0.2">
      <c r="F58"/>
    </row>
    <row r="59" spans="1:12" x14ac:dyDescent="0.2">
      <c r="F59"/>
    </row>
    <row r="60" spans="1:12" x14ac:dyDescent="0.2">
      <c r="F60"/>
    </row>
    <row r="61" spans="1:12" x14ac:dyDescent="0.2">
      <c r="F61"/>
    </row>
    <row r="62" spans="1:12" x14ac:dyDescent="0.2">
      <c r="F62"/>
    </row>
    <row r="63" spans="1:12" x14ac:dyDescent="0.2">
      <c r="F63"/>
    </row>
    <row r="64" spans="1:12" x14ac:dyDescent="0.2">
      <c r="F64"/>
    </row>
    <row r="65" spans="6:6" x14ac:dyDescent="0.2">
      <c r="F65"/>
    </row>
    <row r="66" spans="6:6" x14ac:dyDescent="0.2">
      <c r="F66"/>
    </row>
    <row r="67" spans="6:6" x14ac:dyDescent="0.2">
      <c r="F67"/>
    </row>
    <row r="68" spans="6:6" x14ac:dyDescent="0.2">
      <c r="F68"/>
    </row>
    <row r="69" spans="6:6" x14ac:dyDescent="0.2">
      <c r="F69"/>
    </row>
    <row r="70" spans="6:6" x14ac:dyDescent="0.2">
      <c r="F70"/>
    </row>
    <row r="71" spans="6:6" x14ac:dyDescent="0.2">
      <c r="F71"/>
    </row>
    <row r="72" spans="6:6" x14ac:dyDescent="0.2">
      <c r="F72"/>
    </row>
    <row r="73" spans="6:6" x14ac:dyDescent="0.2">
      <c r="F73"/>
    </row>
    <row r="74" spans="6:6" x14ac:dyDescent="0.2">
      <c r="F74"/>
    </row>
    <row r="75" spans="6:6" x14ac:dyDescent="0.2">
      <c r="F75"/>
    </row>
    <row r="76" spans="6:6" x14ac:dyDescent="0.2">
      <c r="F76"/>
    </row>
    <row r="77" spans="6:6" x14ac:dyDescent="0.2">
      <c r="F77"/>
    </row>
    <row r="78" spans="6:6" x14ac:dyDescent="0.2">
      <c r="F78"/>
    </row>
    <row r="79" spans="6:6" x14ac:dyDescent="0.2">
      <c r="F79"/>
    </row>
    <row r="80" spans="6:6" x14ac:dyDescent="0.2">
      <c r="F80"/>
    </row>
    <row r="81" spans="6:6" x14ac:dyDescent="0.2">
      <c r="F81"/>
    </row>
    <row r="82" spans="6:6" x14ac:dyDescent="0.2">
      <c r="F82"/>
    </row>
    <row r="83" spans="6:6" x14ac:dyDescent="0.2">
      <c r="F83"/>
    </row>
    <row r="84" spans="6:6" x14ac:dyDescent="0.2">
      <c r="F84"/>
    </row>
    <row r="85" spans="6:6" x14ac:dyDescent="0.2">
      <c r="F85"/>
    </row>
    <row r="86" spans="6:6" x14ac:dyDescent="0.2">
      <c r="F86"/>
    </row>
    <row r="87" spans="6:6" x14ac:dyDescent="0.2">
      <c r="F87"/>
    </row>
    <row r="88" spans="6:6" x14ac:dyDescent="0.2">
      <c r="F88"/>
    </row>
    <row r="89" spans="6:6" x14ac:dyDescent="0.2">
      <c r="F89"/>
    </row>
    <row r="90" spans="6:6" x14ac:dyDescent="0.2">
      <c r="F90"/>
    </row>
    <row r="91" spans="6:6" x14ac:dyDescent="0.2">
      <c r="F91"/>
    </row>
    <row r="92" spans="6:6" x14ac:dyDescent="0.2">
      <c r="F92"/>
    </row>
    <row r="93" spans="6:6" x14ac:dyDescent="0.2">
      <c r="F93"/>
    </row>
    <row r="94" spans="6:6" x14ac:dyDescent="0.2">
      <c r="F94"/>
    </row>
    <row r="95" spans="6:6" x14ac:dyDescent="0.2">
      <c r="F95"/>
    </row>
    <row r="96" spans="6:6" x14ac:dyDescent="0.2">
      <c r="F96"/>
    </row>
    <row r="97" spans="6:6" x14ac:dyDescent="0.2">
      <c r="F97"/>
    </row>
    <row r="98" spans="6:6" x14ac:dyDescent="0.2">
      <c r="F98"/>
    </row>
    <row r="99" spans="6:6" x14ac:dyDescent="0.2">
      <c r="F99"/>
    </row>
    <row r="100" spans="6:6" x14ac:dyDescent="0.2">
      <c r="F100"/>
    </row>
  </sheetData>
  <autoFilter ref="A3:L31" xr:uid="{00000000-0001-0000-0000-000000000000}"/>
  <mergeCells count="17">
    <mergeCell ref="G50:H50"/>
    <mergeCell ref="G51:H51"/>
    <mergeCell ref="G52:H52"/>
    <mergeCell ref="G53:H53"/>
    <mergeCell ref="J46:L46"/>
    <mergeCell ref="J47:L53"/>
    <mergeCell ref="A46:D46"/>
    <mergeCell ref="F46:H46"/>
    <mergeCell ref="G47:H47"/>
    <mergeCell ref="G48:H48"/>
    <mergeCell ref="G49:H49"/>
    <mergeCell ref="A1:L1"/>
    <mergeCell ref="A2:L2"/>
    <mergeCell ref="A34:L34"/>
    <mergeCell ref="A36:C36"/>
    <mergeCell ref="E36:G36"/>
    <mergeCell ref="I36:K36"/>
  </mergeCells>
  <conditionalFormatting sqref="D4:D31">
    <cfRule type="containsText" dxfId="8" priority="1" operator="containsText" text="HIGH">
      <formula>NOT(ISERROR(SEARCH("HIGH",D4)))</formula>
    </cfRule>
  </conditionalFormatting>
  <conditionalFormatting sqref="D4:D31">
    <cfRule type="containsText" dxfId="7" priority="2" operator="containsText" text="MEDIUM">
      <formula>NOT(ISERROR(SEARCH("MEDIUM",D4)))</formula>
    </cfRule>
  </conditionalFormatting>
  <conditionalFormatting sqref="D4:D31">
    <cfRule type="containsText" dxfId="6" priority="3" operator="containsText" text="LOW">
      <formula>NOT(ISERROR(SEARCH("LOW",D4)))</formula>
    </cfRule>
  </conditionalFormatting>
  <conditionalFormatting sqref="H4:H31">
    <cfRule type="containsText" dxfId="5" priority="4" operator="containsText" text="Completed">
      <formula>NOT(ISERROR(SEARCH("Completed",H4)))</formula>
    </cfRule>
  </conditionalFormatting>
  <conditionalFormatting sqref="H4:H31">
    <cfRule type="containsText" dxfId="4" priority="5" operator="containsText" text="In Progress">
      <formula>NOT(ISERROR(SEARCH("In Progress",H4)))</formula>
    </cfRule>
  </conditionalFormatting>
  <conditionalFormatting sqref="H4:H31">
    <cfRule type="containsText" dxfId="3" priority="6" operator="containsText" text="Pending">
      <formula>NOT(ISERROR(SEARCH("Pending",H4)))</formula>
    </cfRule>
  </conditionalFormatting>
  <conditionalFormatting sqref="K4:K31">
    <cfRule type="cellIs" dxfId="2" priority="7" operator="lessThan">
      <formula>0</formula>
    </cfRule>
  </conditionalFormatting>
  <conditionalFormatting sqref="K4:K31">
    <cfRule type="cellIs" dxfId="1" priority="8" operator="between">
      <formula>0</formula>
      <formula>7</formula>
    </cfRule>
  </conditionalFormatting>
  <conditionalFormatting sqref="K4:K31">
    <cfRule type="cellIs" dxfId="0" priority="9" operator="between">
      <formula>8</formula>
      <formula>30</formula>
    </cfRule>
  </conditionalFormatting>
  <dataValidations count="4">
    <dataValidation type="list" allowBlank="1" showInputMessage="1" showErrorMessage="1" sqref="H4:H33 H35:H45 H54:H100" xr:uid="{22EBCA1D-694D-EA4B-8F1B-646E395F7351}">
      <formula1>"Pending,In Progress,Completed,On Hold,Cancelled"</formula1>
    </dataValidation>
    <dataValidation type="list" allowBlank="1" showInputMessage="1" showErrorMessage="1" sqref="D4:D33 D35:D45 D47:D100" xr:uid="{53C27E14-8209-F646-BABE-B1896C1237E2}">
      <formula1>"HIGH,MEDIUM,LOW"</formula1>
    </dataValidation>
    <dataValidation type="list" allowBlank="1" showInputMessage="1" showErrorMessage="1" sqref="G4:G33 G35 G37:G45 G47:G100" xr:uid="{6579FFD1-61F9-C24A-8EC2-8329B722FF75}">
      <formula1>"Weekly,Monthly,Quarterly,Annual,One-time"</formula1>
    </dataValidation>
    <dataValidation type="list" allowBlank="1" showInputMessage="1" showErrorMessage="1" sqref="C4:C33 C35 C37:C45 C47:C100" xr:uid="{1B710D1B-0049-6747-AEFD-50E12DDCE467}">
      <formula1>"Utilities,Maintenance,Essentials,Safety,Upgrade,Other"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125C6-4C26-7849-A4CB-C42E4F27AE0E}">
  <dimension ref="A1:L500"/>
  <sheetViews>
    <sheetView workbookViewId="0">
      <pane ySplit="3" topLeftCell="A4" activePane="bottomLeft" state="frozen"/>
      <selection pane="bottomLeft" activeCell="C4" sqref="C4"/>
    </sheetView>
  </sheetViews>
  <sheetFormatPr baseColWidth="10" defaultRowHeight="15" x14ac:dyDescent="0.2"/>
  <cols>
    <col min="1" max="1" width="10" customWidth="1"/>
    <col min="2" max="2" width="18.33203125" customWidth="1"/>
    <col min="3" max="3" width="10" customWidth="1"/>
    <col min="4" max="4" width="33.33203125" customWidth="1"/>
    <col min="5" max="6" width="16.6640625" customWidth="1"/>
    <col min="7" max="7" width="20" customWidth="1"/>
    <col min="8" max="8" width="41.6640625" customWidth="1"/>
  </cols>
  <sheetData>
    <row r="1" spans="1:12" ht="19" x14ac:dyDescent="0.25">
      <c r="A1" s="26" t="s">
        <v>83</v>
      </c>
      <c r="B1" s="1"/>
      <c r="C1" s="1"/>
      <c r="D1" s="1"/>
      <c r="E1" s="1"/>
      <c r="F1" s="1"/>
      <c r="G1" s="1"/>
      <c r="H1" s="1"/>
      <c r="J1" s="29" t="s">
        <v>91</v>
      </c>
      <c r="K1" s="1"/>
      <c r="L1" s="1"/>
    </row>
    <row r="2" spans="1:12" x14ac:dyDescent="0.2">
      <c r="A2" s="27" t="s">
        <v>84</v>
      </c>
      <c r="B2" s="1"/>
      <c r="C2" s="1"/>
      <c r="D2" s="1"/>
      <c r="E2" s="1"/>
      <c r="F2" s="1"/>
      <c r="G2" s="1"/>
      <c r="H2" s="1"/>
    </row>
    <row r="3" spans="1:12" x14ac:dyDescent="0.2">
      <c r="A3" s="28" t="s">
        <v>85</v>
      </c>
      <c r="B3" s="28" t="s">
        <v>86</v>
      </c>
      <c r="C3" s="28" t="s">
        <v>87</v>
      </c>
      <c r="D3" s="28" t="s">
        <v>1</v>
      </c>
      <c r="E3" s="28" t="s">
        <v>2</v>
      </c>
      <c r="F3" s="28" t="s">
        <v>88</v>
      </c>
      <c r="G3" s="28" t="s">
        <v>89</v>
      </c>
      <c r="H3" s="28" t="s">
        <v>90</v>
      </c>
      <c r="J3" s="30" t="s">
        <v>92</v>
      </c>
      <c r="K3">
        <f>COUNTA(B4:B1000)</f>
        <v>0</v>
      </c>
    </row>
    <row r="4" spans="1:12" x14ac:dyDescent="0.2">
      <c r="A4">
        <v>1</v>
      </c>
      <c r="B4" s="8"/>
      <c r="F4" s="7"/>
      <c r="J4" s="30" t="s">
        <v>93</v>
      </c>
      <c r="K4" s="7">
        <f>SUM(F4:F1000)</f>
        <v>0</v>
      </c>
    </row>
    <row r="5" spans="1:12" x14ac:dyDescent="0.2">
      <c r="A5" s="35"/>
      <c r="B5" s="36"/>
      <c r="C5" s="35"/>
      <c r="D5" s="35"/>
      <c r="E5" s="35"/>
      <c r="F5" s="37"/>
      <c r="G5" s="35"/>
      <c r="H5" s="35"/>
      <c r="J5" s="30" t="s">
        <v>94</v>
      </c>
      <c r="K5" cm="1">
        <f t="array" aca="1" ref="K5" ca="1">SUMPRODUCT((MONTH(B4:B1000)=MONTH(TODAY()))*(YEAR(B4:B1000)=YEAR(TODAY()))*1)</f>
        <v>0</v>
      </c>
    </row>
    <row r="6" spans="1:12" x14ac:dyDescent="0.2">
      <c r="B6" s="8"/>
      <c r="F6" s="7"/>
      <c r="J6" s="30" t="s">
        <v>95</v>
      </c>
      <c r="K6" s="7" cm="1">
        <f t="array" aca="1" ref="K6" ca="1">SUMPRODUCT((MONTH(B4:B1000)=MONTH(TODAY()))*(YEAR(B4:B1000)=YEAR(TODAY()))*F4:F1000)</f>
        <v>0</v>
      </c>
    </row>
    <row r="7" spans="1:12" x14ac:dyDescent="0.2">
      <c r="A7" s="35"/>
      <c r="B7" s="36"/>
      <c r="C7" s="35"/>
      <c r="D7" s="35"/>
      <c r="E7" s="35"/>
      <c r="F7" s="37"/>
      <c r="G7" s="35"/>
      <c r="H7" s="35"/>
      <c r="J7" s="30" t="s">
        <v>96</v>
      </c>
      <c r="K7" t="str">
        <f>IFERROR(TEXT(MAX(B4:B1000),"yyyy-mm-dd"),"No entries")</f>
        <v>1900-01-00</v>
      </c>
    </row>
    <row r="8" spans="1:12" x14ac:dyDescent="0.2">
      <c r="B8" s="8"/>
      <c r="F8" s="7"/>
      <c r="J8" s="30" t="s">
        <v>97</v>
      </c>
      <c r="K8" t="str" cm="1">
        <f t="array" ref="K8">IFERROR(INDEX(D4:D1000,MODE(MATCH(D4:D1000,D4:D1000,0))),"No entries")</f>
        <v>No entries</v>
      </c>
    </row>
    <row r="9" spans="1:12" x14ac:dyDescent="0.2">
      <c r="A9" s="35"/>
      <c r="B9" s="36"/>
      <c r="C9" s="35"/>
      <c r="D9" s="35"/>
      <c r="E9" s="35"/>
      <c r="F9" s="37"/>
      <c r="G9" s="35"/>
      <c r="H9" s="35"/>
    </row>
    <row r="10" spans="1:12" x14ac:dyDescent="0.2">
      <c r="B10" s="8"/>
      <c r="F10" s="7"/>
      <c r="J10" s="32" t="s">
        <v>81</v>
      </c>
      <c r="K10" s="31"/>
      <c r="L10" s="31"/>
    </row>
    <row r="11" spans="1:12" ht="64" x14ac:dyDescent="0.2">
      <c r="A11" s="35"/>
      <c r="B11" s="36"/>
      <c r="C11" s="35"/>
      <c r="D11" s="35"/>
      <c r="E11" s="35"/>
      <c r="F11" s="37"/>
      <c r="G11" s="35"/>
      <c r="H11" s="35"/>
      <c r="J11" s="33" t="s">
        <v>98</v>
      </c>
      <c r="K11" s="34"/>
      <c r="L11" s="34"/>
    </row>
    <row r="12" spans="1:12" ht="32" x14ac:dyDescent="0.2">
      <c r="B12" s="8"/>
      <c r="F12" s="7"/>
      <c r="J12" s="33" t="s">
        <v>99</v>
      </c>
      <c r="K12" s="34"/>
      <c r="L12" s="34"/>
    </row>
    <row r="13" spans="1:12" ht="32" x14ac:dyDescent="0.2">
      <c r="A13" s="35"/>
      <c r="B13" s="36"/>
      <c r="C13" s="35"/>
      <c r="D13" s="35"/>
      <c r="E13" s="35"/>
      <c r="F13" s="37"/>
      <c r="G13" s="35"/>
      <c r="H13" s="35"/>
      <c r="J13" s="33" t="s">
        <v>100</v>
      </c>
      <c r="K13" s="34"/>
      <c r="L13" s="34"/>
    </row>
    <row r="14" spans="1:12" ht="48" x14ac:dyDescent="0.2">
      <c r="B14" s="8"/>
      <c r="F14" s="7"/>
      <c r="J14" s="33" t="s">
        <v>101</v>
      </c>
      <c r="K14" s="34"/>
      <c r="L14" s="34"/>
    </row>
    <row r="15" spans="1:12" ht="64" x14ac:dyDescent="0.2">
      <c r="A15" s="35"/>
      <c r="B15" s="36"/>
      <c r="C15" s="35"/>
      <c r="D15" s="35"/>
      <c r="E15" s="35"/>
      <c r="F15" s="37"/>
      <c r="G15" s="35"/>
      <c r="H15" s="35"/>
      <c r="J15" s="33" t="s">
        <v>102</v>
      </c>
      <c r="K15" s="34"/>
      <c r="L15" s="34"/>
    </row>
    <row r="16" spans="1:12" ht="32" x14ac:dyDescent="0.2">
      <c r="B16" s="8"/>
      <c r="F16" s="7"/>
      <c r="J16" s="33" t="s">
        <v>103</v>
      </c>
      <c r="K16" s="34"/>
      <c r="L16" s="34"/>
    </row>
    <row r="17" spans="1:12" ht="48" x14ac:dyDescent="0.2">
      <c r="A17" s="35"/>
      <c r="B17" s="36"/>
      <c r="C17" s="35"/>
      <c r="D17" s="35"/>
      <c r="E17" s="35"/>
      <c r="F17" s="37"/>
      <c r="G17" s="35"/>
      <c r="H17" s="35"/>
      <c r="J17" s="33" t="s">
        <v>104</v>
      </c>
      <c r="K17" s="34"/>
      <c r="L17" s="34"/>
    </row>
    <row r="18" spans="1:12" x14ac:dyDescent="0.2">
      <c r="B18" s="8"/>
      <c r="F18" s="7"/>
    </row>
    <row r="19" spans="1:12" x14ac:dyDescent="0.2">
      <c r="A19" s="35"/>
      <c r="B19" s="36"/>
      <c r="C19" s="35"/>
      <c r="D19" s="35"/>
      <c r="E19" s="35"/>
      <c r="F19" s="37"/>
      <c r="G19" s="35"/>
      <c r="H19" s="35"/>
    </row>
    <row r="20" spans="1:12" x14ac:dyDescent="0.2">
      <c r="B20" s="8"/>
      <c r="F20" s="7"/>
    </row>
    <row r="21" spans="1:12" x14ac:dyDescent="0.2">
      <c r="A21" s="35"/>
      <c r="B21" s="36"/>
      <c r="C21" s="35"/>
      <c r="D21" s="35"/>
      <c r="E21" s="35"/>
      <c r="F21" s="37"/>
      <c r="G21" s="35"/>
      <c r="H21" s="35"/>
    </row>
    <row r="22" spans="1:12" x14ac:dyDescent="0.2">
      <c r="B22" s="8"/>
      <c r="F22" s="7"/>
    </row>
    <row r="23" spans="1:12" x14ac:dyDescent="0.2">
      <c r="A23" s="35"/>
      <c r="B23" s="36"/>
      <c r="C23" s="35"/>
      <c r="D23" s="35"/>
      <c r="E23" s="35"/>
      <c r="F23" s="37"/>
      <c r="G23" s="35"/>
      <c r="H23" s="35"/>
    </row>
    <row r="24" spans="1:12" x14ac:dyDescent="0.2">
      <c r="B24" s="8"/>
      <c r="F24" s="7"/>
    </row>
    <row r="25" spans="1:12" x14ac:dyDescent="0.2">
      <c r="A25" s="35"/>
      <c r="B25" s="36"/>
      <c r="C25" s="35"/>
      <c r="D25" s="35"/>
      <c r="E25" s="35"/>
      <c r="F25" s="37"/>
      <c r="G25" s="35"/>
      <c r="H25" s="35"/>
    </row>
    <row r="26" spans="1:12" x14ac:dyDescent="0.2">
      <c r="B26" s="8"/>
      <c r="F26" s="7"/>
    </row>
    <row r="27" spans="1:12" x14ac:dyDescent="0.2">
      <c r="A27" s="35"/>
      <c r="B27" s="36"/>
      <c r="C27" s="35"/>
      <c r="D27" s="35"/>
      <c r="E27" s="35"/>
      <c r="F27" s="37"/>
      <c r="G27" s="35"/>
      <c r="H27" s="35"/>
    </row>
    <row r="28" spans="1:12" x14ac:dyDescent="0.2">
      <c r="B28" s="8"/>
      <c r="F28" s="7"/>
    </row>
    <row r="29" spans="1:12" x14ac:dyDescent="0.2">
      <c r="A29" s="35"/>
      <c r="B29" s="36"/>
      <c r="C29" s="35"/>
      <c r="D29" s="35"/>
      <c r="E29" s="35"/>
      <c r="F29" s="37"/>
      <c r="G29" s="35"/>
      <c r="H29" s="35"/>
    </row>
    <row r="30" spans="1:12" x14ac:dyDescent="0.2">
      <c r="B30" s="8"/>
      <c r="F30" s="7"/>
    </row>
    <row r="31" spans="1:12" x14ac:dyDescent="0.2">
      <c r="A31" s="35"/>
      <c r="B31" s="36"/>
      <c r="C31" s="35"/>
      <c r="D31" s="35"/>
      <c r="E31" s="35"/>
      <c r="F31" s="37"/>
      <c r="G31" s="35"/>
      <c r="H31" s="35"/>
    </row>
    <row r="32" spans="1:12" x14ac:dyDescent="0.2">
      <c r="B32" s="8"/>
      <c r="F32" s="7"/>
    </row>
    <row r="33" spans="1:8" x14ac:dyDescent="0.2">
      <c r="A33" s="35"/>
      <c r="B33" s="36"/>
      <c r="C33" s="35"/>
      <c r="D33" s="35"/>
      <c r="E33" s="35"/>
      <c r="F33" s="37"/>
      <c r="G33" s="35"/>
      <c r="H33" s="35"/>
    </row>
    <row r="34" spans="1:8" x14ac:dyDescent="0.2">
      <c r="B34" s="8"/>
      <c r="F34" s="7"/>
    </row>
    <row r="35" spans="1:8" x14ac:dyDescent="0.2">
      <c r="A35" s="35"/>
      <c r="B35" s="36"/>
      <c r="C35" s="35"/>
      <c r="D35" s="35"/>
      <c r="E35" s="35"/>
      <c r="F35" s="37"/>
      <c r="G35" s="35"/>
      <c r="H35" s="35"/>
    </row>
    <row r="36" spans="1:8" x14ac:dyDescent="0.2">
      <c r="B36" s="8"/>
      <c r="F36" s="7"/>
    </row>
    <row r="37" spans="1:8" x14ac:dyDescent="0.2">
      <c r="A37" s="35"/>
      <c r="B37" s="36"/>
      <c r="C37" s="35"/>
      <c r="D37" s="35"/>
      <c r="E37" s="35"/>
      <c r="F37" s="37"/>
      <c r="G37" s="35"/>
      <c r="H37" s="35"/>
    </row>
    <row r="38" spans="1:8" x14ac:dyDescent="0.2">
      <c r="B38" s="8"/>
      <c r="F38" s="7"/>
    </row>
    <row r="39" spans="1:8" x14ac:dyDescent="0.2">
      <c r="A39" s="35"/>
      <c r="B39" s="36"/>
      <c r="C39" s="35"/>
      <c r="D39" s="35"/>
      <c r="E39" s="35"/>
      <c r="F39" s="37"/>
      <c r="G39" s="35"/>
      <c r="H39" s="35"/>
    </row>
    <row r="40" spans="1:8" x14ac:dyDescent="0.2">
      <c r="B40" s="8"/>
      <c r="F40" s="7"/>
    </row>
    <row r="41" spans="1:8" x14ac:dyDescent="0.2">
      <c r="A41" s="35"/>
      <c r="B41" s="36"/>
      <c r="C41" s="35"/>
      <c r="D41" s="35"/>
      <c r="E41" s="35"/>
      <c r="F41" s="37"/>
      <c r="G41" s="35"/>
      <c r="H41" s="35"/>
    </row>
    <row r="42" spans="1:8" x14ac:dyDescent="0.2">
      <c r="B42" s="8"/>
      <c r="F42" s="7"/>
    </row>
    <row r="43" spans="1:8" x14ac:dyDescent="0.2">
      <c r="A43" s="35"/>
      <c r="B43" s="36"/>
      <c r="C43" s="35"/>
      <c r="D43" s="35"/>
      <c r="E43" s="35"/>
      <c r="F43" s="37"/>
      <c r="G43" s="35"/>
      <c r="H43" s="35"/>
    </row>
    <row r="44" spans="1:8" x14ac:dyDescent="0.2">
      <c r="B44" s="8"/>
      <c r="F44" s="7"/>
    </row>
    <row r="45" spans="1:8" x14ac:dyDescent="0.2">
      <c r="A45" s="35"/>
      <c r="B45" s="36"/>
      <c r="C45" s="35"/>
      <c r="D45" s="35"/>
      <c r="E45" s="35"/>
      <c r="F45" s="37"/>
      <c r="G45" s="35"/>
      <c r="H45" s="35"/>
    </row>
    <row r="46" spans="1:8" x14ac:dyDescent="0.2">
      <c r="B46" s="8"/>
      <c r="F46" s="7"/>
    </row>
    <row r="47" spans="1:8" x14ac:dyDescent="0.2">
      <c r="A47" s="35"/>
      <c r="B47" s="36"/>
      <c r="C47" s="35"/>
      <c r="D47" s="35"/>
      <c r="E47" s="35"/>
      <c r="F47" s="37"/>
      <c r="G47" s="35"/>
      <c r="H47" s="35"/>
    </row>
    <row r="48" spans="1:8" x14ac:dyDescent="0.2">
      <c r="B48" s="8"/>
      <c r="F48" s="7"/>
    </row>
    <row r="49" spans="1:8" x14ac:dyDescent="0.2">
      <c r="A49" s="35"/>
      <c r="B49" s="36"/>
      <c r="C49" s="35"/>
      <c r="D49" s="35"/>
      <c r="E49" s="35"/>
      <c r="F49" s="37"/>
      <c r="G49" s="35"/>
      <c r="H49" s="35"/>
    </row>
    <row r="50" spans="1:8" x14ac:dyDescent="0.2">
      <c r="B50" s="8"/>
      <c r="F50" s="7"/>
    </row>
    <row r="51" spans="1:8" x14ac:dyDescent="0.2">
      <c r="B51" s="8"/>
      <c r="F51" s="7"/>
    </row>
    <row r="52" spans="1:8" x14ac:dyDescent="0.2">
      <c r="B52" s="8"/>
      <c r="F52" s="7"/>
    </row>
    <row r="53" spans="1:8" x14ac:dyDescent="0.2">
      <c r="B53" s="8"/>
      <c r="F53" s="7"/>
    </row>
    <row r="54" spans="1:8" x14ac:dyDescent="0.2">
      <c r="B54" s="8"/>
      <c r="F54" s="7"/>
    </row>
    <row r="55" spans="1:8" x14ac:dyDescent="0.2">
      <c r="B55" s="8"/>
      <c r="F55" s="7"/>
    </row>
    <row r="56" spans="1:8" x14ac:dyDescent="0.2">
      <c r="B56" s="8"/>
      <c r="F56" s="7"/>
    </row>
    <row r="57" spans="1:8" x14ac:dyDescent="0.2">
      <c r="B57" s="8"/>
      <c r="F57" s="7"/>
    </row>
    <row r="58" spans="1:8" x14ac:dyDescent="0.2">
      <c r="B58" s="8"/>
      <c r="F58" s="7"/>
    </row>
    <row r="59" spans="1:8" x14ac:dyDescent="0.2">
      <c r="B59" s="8"/>
      <c r="F59" s="7"/>
    </row>
    <row r="60" spans="1:8" x14ac:dyDescent="0.2">
      <c r="B60" s="8"/>
      <c r="F60" s="7"/>
    </row>
    <row r="61" spans="1:8" x14ac:dyDescent="0.2">
      <c r="B61" s="8"/>
      <c r="F61" s="7"/>
    </row>
    <row r="62" spans="1:8" x14ac:dyDescent="0.2">
      <c r="B62" s="8"/>
      <c r="F62" s="7"/>
    </row>
    <row r="63" spans="1:8" x14ac:dyDescent="0.2">
      <c r="B63" s="8"/>
      <c r="F63" s="7"/>
    </row>
    <row r="64" spans="1:8" x14ac:dyDescent="0.2">
      <c r="B64" s="8"/>
      <c r="F64" s="7"/>
    </row>
    <row r="65" spans="2:6" x14ac:dyDescent="0.2">
      <c r="B65" s="8"/>
      <c r="F65" s="7"/>
    </row>
    <row r="66" spans="2:6" x14ac:dyDescent="0.2">
      <c r="B66" s="8"/>
      <c r="F66" s="7"/>
    </row>
    <row r="67" spans="2:6" x14ac:dyDescent="0.2">
      <c r="B67" s="8"/>
      <c r="F67" s="7"/>
    </row>
    <row r="68" spans="2:6" x14ac:dyDescent="0.2">
      <c r="B68" s="8"/>
      <c r="F68" s="7"/>
    </row>
    <row r="69" spans="2:6" x14ac:dyDescent="0.2">
      <c r="B69" s="8"/>
      <c r="F69" s="7"/>
    </row>
    <row r="70" spans="2:6" x14ac:dyDescent="0.2">
      <c r="B70" s="8"/>
      <c r="F70" s="7"/>
    </row>
    <row r="71" spans="2:6" x14ac:dyDescent="0.2">
      <c r="B71" s="8"/>
      <c r="F71" s="7"/>
    </row>
    <row r="72" spans="2:6" x14ac:dyDescent="0.2">
      <c r="B72" s="8"/>
      <c r="F72" s="7"/>
    </row>
    <row r="73" spans="2:6" x14ac:dyDescent="0.2">
      <c r="B73" s="8"/>
      <c r="F73" s="7"/>
    </row>
    <row r="74" spans="2:6" x14ac:dyDescent="0.2">
      <c r="B74" s="8"/>
      <c r="F74" s="7"/>
    </row>
    <row r="75" spans="2:6" x14ac:dyDescent="0.2">
      <c r="B75" s="8"/>
      <c r="F75" s="7"/>
    </row>
    <row r="76" spans="2:6" x14ac:dyDescent="0.2">
      <c r="B76" s="8"/>
      <c r="F76" s="7"/>
    </row>
    <row r="77" spans="2:6" x14ac:dyDescent="0.2">
      <c r="B77" s="8"/>
      <c r="F77" s="7"/>
    </row>
    <row r="78" spans="2:6" x14ac:dyDescent="0.2">
      <c r="B78" s="8"/>
      <c r="F78" s="7"/>
    </row>
    <row r="79" spans="2:6" x14ac:dyDescent="0.2">
      <c r="B79" s="8"/>
      <c r="F79" s="7"/>
    </row>
    <row r="80" spans="2:6" x14ac:dyDescent="0.2">
      <c r="B80" s="8"/>
      <c r="F80" s="7"/>
    </row>
    <row r="81" spans="2:6" x14ac:dyDescent="0.2">
      <c r="B81" s="8"/>
      <c r="F81" s="7"/>
    </row>
    <row r="82" spans="2:6" x14ac:dyDescent="0.2">
      <c r="B82" s="8"/>
      <c r="F82" s="7"/>
    </row>
    <row r="83" spans="2:6" x14ac:dyDescent="0.2">
      <c r="B83" s="8"/>
      <c r="F83" s="7"/>
    </row>
    <row r="84" spans="2:6" x14ac:dyDescent="0.2">
      <c r="B84" s="8"/>
      <c r="F84" s="7"/>
    </row>
    <row r="85" spans="2:6" x14ac:dyDescent="0.2">
      <c r="B85" s="8"/>
      <c r="F85" s="7"/>
    </row>
    <row r="86" spans="2:6" x14ac:dyDescent="0.2">
      <c r="B86" s="8"/>
      <c r="F86" s="7"/>
    </row>
    <row r="87" spans="2:6" x14ac:dyDescent="0.2">
      <c r="B87" s="8"/>
      <c r="F87" s="7"/>
    </row>
    <row r="88" spans="2:6" x14ac:dyDescent="0.2">
      <c r="B88" s="8"/>
      <c r="F88" s="7"/>
    </row>
    <row r="89" spans="2:6" x14ac:dyDescent="0.2">
      <c r="B89" s="8"/>
      <c r="F89" s="7"/>
    </row>
    <row r="90" spans="2:6" x14ac:dyDescent="0.2">
      <c r="B90" s="8"/>
      <c r="F90" s="7"/>
    </row>
    <row r="91" spans="2:6" x14ac:dyDescent="0.2">
      <c r="B91" s="8"/>
      <c r="F91" s="7"/>
    </row>
    <row r="92" spans="2:6" x14ac:dyDescent="0.2">
      <c r="B92" s="8"/>
      <c r="F92" s="7"/>
    </row>
    <row r="93" spans="2:6" x14ac:dyDescent="0.2">
      <c r="B93" s="8"/>
      <c r="F93" s="7"/>
    </row>
    <row r="94" spans="2:6" x14ac:dyDescent="0.2">
      <c r="B94" s="8"/>
      <c r="F94" s="7"/>
    </row>
    <row r="95" spans="2:6" x14ac:dyDescent="0.2">
      <c r="B95" s="8"/>
      <c r="F95" s="7"/>
    </row>
    <row r="96" spans="2:6" x14ac:dyDescent="0.2">
      <c r="B96" s="8"/>
      <c r="F96" s="7"/>
    </row>
    <row r="97" spans="2:6" x14ac:dyDescent="0.2">
      <c r="B97" s="8"/>
      <c r="F97" s="7"/>
    </row>
    <row r="98" spans="2:6" x14ac:dyDescent="0.2">
      <c r="B98" s="8"/>
      <c r="F98" s="7"/>
    </row>
    <row r="99" spans="2:6" x14ac:dyDescent="0.2">
      <c r="B99" s="8"/>
      <c r="F99" s="7"/>
    </row>
    <row r="100" spans="2:6" x14ac:dyDescent="0.2">
      <c r="B100" s="8"/>
      <c r="F100" s="7"/>
    </row>
    <row r="101" spans="2:6" x14ac:dyDescent="0.2">
      <c r="B101" s="8"/>
      <c r="F101" s="7"/>
    </row>
    <row r="102" spans="2:6" x14ac:dyDescent="0.2">
      <c r="B102" s="8"/>
      <c r="F102" s="7"/>
    </row>
    <row r="103" spans="2:6" x14ac:dyDescent="0.2">
      <c r="B103" s="8"/>
      <c r="F103" s="7"/>
    </row>
    <row r="104" spans="2:6" x14ac:dyDescent="0.2">
      <c r="B104" s="8"/>
      <c r="F104" s="7"/>
    </row>
    <row r="105" spans="2:6" x14ac:dyDescent="0.2">
      <c r="B105" s="8"/>
      <c r="F105" s="7"/>
    </row>
    <row r="106" spans="2:6" x14ac:dyDescent="0.2">
      <c r="B106" s="8"/>
      <c r="F106" s="7"/>
    </row>
    <row r="107" spans="2:6" x14ac:dyDescent="0.2">
      <c r="B107" s="8"/>
      <c r="F107" s="7"/>
    </row>
    <row r="108" spans="2:6" x14ac:dyDescent="0.2">
      <c r="B108" s="8"/>
      <c r="F108" s="7"/>
    </row>
    <row r="109" spans="2:6" x14ac:dyDescent="0.2">
      <c r="B109" s="8"/>
      <c r="F109" s="7"/>
    </row>
    <row r="110" spans="2:6" x14ac:dyDescent="0.2">
      <c r="B110" s="8"/>
      <c r="F110" s="7"/>
    </row>
    <row r="111" spans="2:6" x14ac:dyDescent="0.2">
      <c r="B111" s="8"/>
      <c r="F111" s="7"/>
    </row>
    <row r="112" spans="2:6" x14ac:dyDescent="0.2">
      <c r="B112" s="8"/>
      <c r="F112" s="7"/>
    </row>
    <row r="113" spans="2:6" x14ac:dyDescent="0.2">
      <c r="B113" s="8"/>
      <c r="F113" s="7"/>
    </row>
    <row r="114" spans="2:6" x14ac:dyDescent="0.2">
      <c r="B114" s="8"/>
      <c r="F114" s="7"/>
    </row>
    <row r="115" spans="2:6" x14ac:dyDescent="0.2">
      <c r="B115" s="8"/>
      <c r="F115" s="7"/>
    </row>
    <row r="116" spans="2:6" x14ac:dyDescent="0.2">
      <c r="B116" s="8"/>
      <c r="F116" s="7"/>
    </row>
    <row r="117" spans="2:6" x14ac:dyDescent="0.2">
      <c r="B117" s="8"/>
      <c r="F117" s="7"/>
    </row>
    <row r="118" spans="2:6" x14ac:dyDescent="0.2">
      <c r="B118" s="8"/>
      <c r="F118" s="7"/>
    </row>
    <row r="119" spans="2:6" x14ac:dyDescent="0.2">
      <c r="B119" s="8"/>
      <c r="F119" s="7"/>
    </row>
    <row r="120" spans="2:6" x14ac:dyDescent="0.2">
      <c r="B120" s="8"/>
      <c r="F120" s="7"/>
    </row>
    <row r="121" spans="2:6" x14ac:dyDescent="0.2">
      <c r="B121" s="8"/>
      <c r="F121" s="7"/>
    </row>
    <row r="122" spans="2:6" x14ac:dyDescent="0.2">
      <c r="B122" s="8"/>
      <c r="F122" s="7"/>
    </row>
    <row r="123" spans="2:6" x14ac:dyDescent="0.2">
      <c r="B123" s="8"/>
      <c r="F123" s="7"/>
    </row>
    <row r="124" spans="2:6" x14ac:dyDescent="0.2">
      <c r="B124" s="8"/>
      <c r="F124" s="7"/>
    </row>
    <row r="125" spans="2:6" x14ac:dyDescent="0.2">
      <c r="B125" s="8"/>
      <c r="F125" s="7"/>
    </row>
    <row r="126" spans="2:6" x14ac:dyDescent="0.2">
      <c r="B126" s="8"/>
      <c r="F126" s="7"/>
    </row>
    <row r="127" spans="2:6" x14ac:dyDescent="0.2">
      <c r="B127" s="8"/>
      <c r="F127" s="7"/>
    </row>
    <row r="128" spans="2:6" x14ac:dyDescent="0.2">
      <c r="B128" s="8"/>
      <c r="F128" s="7"/>
    </row>
    <row r="129" spans="2:6" x14ac:dyDescent="0.2">
      <c r="B129" s="8"/>
      <c r="F129" s="7"/>
    </row>
    <row r="130" spans="2:6" x14ac:dyDescent="0.2">
      <c r="B130" s="8"/>
      <c r="F130" s="7"/>
    </row>
    <row r="131" spans="2:6" x14ac:dyDescent="0.2">
      <c r="B131" s="8"/>
      <c r="F131" s="7"/>
    </row>
    <row r="132" spans="2:6" x14ac:dyDescent="0.2">
      <c r="B132" s="8"/>
      <c r="F132" s="7"/>
    </row>
    <row r="133" spans="2:6" x14ac:dyDescent="0.2">
      <c r="B133" s="8"/>
      <c r="F133" s="7"/>
    </row>
    <row r="134" spans="2:6" x14ac:dyDescent="0.2">
      <c r="B134" s="8"/>
      <c r="F134" s="7"/>
    </row>
    <row r="135" spans="2:6" x14ac:dyDescent="0.2">
      <c r="B135" s="8"/>
      <c r="F135" s="7"/>
    </row>
    <row r="136" spans="2:6" x14ac:dyDescent="0.2">
      <c r="B136" s="8"/>
      <c r="F136" s="7"/>
    </row>
    <row r="137" spans="2:6" x14ac:dyDescent="0.2">
      <c r="B137" s="8"/>
      <c r="F137" s="7"/>
    </row>
    <row r="138" spans="2:6" x14ac:dyDescent="0.2">
      <c r="B138" s="8"/>
      <c r="F138" s="7"/>
    </row>
    <row r="139" spans="2:6" x14ac:dyDescent="0.2">
      <c r="B139" s="8"/>
      <c r="F139" s="7"/>
    </row>
    <row r="140" spans="2:6" x14ac:dyDescent="0.2">
      <c r="B140" s="8"/>
      <c r="F140" s="7"/>
    </row>
    <row r="141" spans="2:6" x14ac:dyDescent="0.2">
      <c r="B141" s="8"/>
      <c r="F141" s="7"/>
    </row>
    <row r="142" spans="2:6" x14ac:dyDescent="0.2">
      <c r="B142" s="8"/>
      <c r="F142" s="7"/>
    </row>
    <row r="143" spans="2:6" x14ac:dyDescent="0.2">
      <c r="B143" s="8"/>
      <c r="F143" s="7"/>
    </row>
    <row r="144" spans="2:6" x14ac:dyDescent="0.2">
      <c r="B144" s="8"/>
      <c r="F144" s="7"/>
    </row>
    <row r="145" spans="2:6" x14ac:dyDescent="0.2">
      <c r="B145" s="8"/>
      <c r="F145" s="7"/>
    </row>
    <row r="146" spans="2:6" x14ac:dyDescent="0.2">
      <c r="B146" s="8"/>
      <c r="F146" s="7"/>
    </row>
    <row r="147" spans="2:6" x14ac:dyDescent="0.2">
      <c r="B147" s="8"/>
      <c r="F147" s="7"/>
    </row>
    <row r="148" spans="2:6" x14ac:dyDescent="0.2">
      <c r="B148" s="8"/>
      <c r="F148" s="7"/>
    </row>
    <row r="149" spans="2:6" x14ac:dyDescent="0.2">
      <c r="B149" s="8"/>
      <c r="F149" s="7"/>
    </row>
    <row r="150" spans="2:6" x14ac:dyDescent="0.2">
      <c r="B150" s="8"/>
      <c r="F150" s="7"/>
    </row>
    <row r="151" spans="2:6" x14ac:dyDescent="0.2">
      <c r="B151" s="8"/>
      <c r="F151" s="7"/>
    </row>
    <row r="152" spans="2:6" x14ac:dyDescent="0.2">
      <c r="B152" s="8"/>
      <c r="F152" s="7"/>
    </row>
    <row r="153" spans="2:6" x14ac:dyDescent="0.2">
      <c r="B153" s="8"/>
      <c r="F153" s="7"/>
    </row>
    <row r="154" spans="2:6" x14ac:dyDescent="0.2">
      <c r="B154" s="8"/>
      <c r="F154" s="7"/>
    </row>
    <row r="155" spans="2:6" x14ac:dyDescent="0.2">
      <c r="B155" s="8"/>
      <c r="F155" s="7"/>
    </row>
    <row r="156" spans="2:6" x14ac:dyDescent="0.2">
      <c r="B156" s="8"/>
      <c r="F156" s="7"/>
    </row>
    <row r="157" spans="2:6" x14ac:dyDescent="0.2">
      <c r="B157" s="8"/>
      <c r="F157" s="7"/>
    </row>
    <row r="158" spans="2:6" x14ac:dyDescent="0.2">
      <c r="B158" s="8"/>
      <c r="F158" s="7"/>
    </row>
    <row r="159" spans="2:6" x14ac:dyDescent="0.2">
      <c r="B159" s="8"/>
      <c r="F159" s="7"/>
    </row>
    <row r="160" spans="2:6" x14ac:dyDescent="0.2">
      <c r="B160" s="8"/>
      <c r="F160" s="7"/>
    </row>
    <row r="161" spans="2:6" x14ac:dyDescent="0.2">
      <c r="B161" s="8"/>
      <c r="F161" s="7"/>
    </row>
    <row r="162" spans="2:6" x14ac:dyDescent="0.2">
      <c r="B162" s="8"/>
      <c r="F162" s="7"/>
    </row>
    <row r="163" spans="2:6" x14ac:dyDescent="0.2">
      <c r="B163" s="8"/>
      <c r="F163" s="7"/>
    </row>
    <row r="164" spans="2:6" x14ac:dyDescent="0.2">
      <c r="B164" s="8"/>
      <c r="F164" s="7"/>
    </row>
    <row r="165" spans="2:6" x14ac:dyDescent="0.2">
      <c r="B165" s="8"/>
      <c r="F165" s="7"/>
    </row>
    <row r="166" spans="2:6" x14ac:dyDescent="0.2">
      <c r="B166" s="8"/>
      <c r="F166" s="7"/>
    </row>
    <row r="167" spans="2:6" x14ac:dyDescent="0.2">
      <c r="B167" s="8"/>
      <c r="F167" s="7"/>
    </row>
    <row r="168" spans="2:6" x14ac:dyDescent="0.2">
      <c r="B168" s="8"/>
      <c r="F168" s="7"/>
    </row>
    <row r="169" spans="2:6" x14ac:dyDescent="0.2">
      <c r="B169" s="8"/>
      <c r="F169" s="7"/>
    </row>
    <row r="170" spans="2:6" x14ac:dyDescent="0.2">
      <c r="B170" s="8"/>
      <c r="F170" s="7"/>
    </row>
    <row r="171" spans="2:6" x14ac:dyDescent="0.2">
      <c r="B171" s="8"/>
      <c r="F171" s="7"/>
    </row>
    <row r="172" spans="2:6" x14ac:dyDescent="0.2">
      <c r="B172" s="8"/>
      <c r="F172" s="7"/>
    </row>
    <row r="173" spans="2:6" x14ac:dyDescent="0.2">
      <c r="B173" s="8"/>
      <c r="F173" s="7"/>
    </row>
    <row r="174" spans="2:6" x14ac:dyDescent="0.2">
      <c r="B174" s="8"/>
      <c r="F174" s="7"/>
    </row>
    <row r="175" spans="2:6" x14ac:dyDescent="0.2">
      <c r="B175" s="8"/>
      <c r="F175" s="7"/>
    </row>
    <row r="176" spans="2:6" x14ac:dyDescent="0.2">
      <c r="B176" s="8"/>
      <c r="F176" s="7"/>
    </row>
    <row r="177" spans="2:6" x14ac:dyDescent="0.2">
      <c r="B177" s="8"/>
      <c r="F177" s="7"/>
    </row>
    <row r="178" spans="2:6" x14ac:dyDescent="0.2">
      <c r="B178" s="8"/>
      <c r="F178" s="7"/>
    </row>
    <row r="179" spans="2:6" x14ac:dyDescent="0.2">
      <c r="B179" s="8"/>
      <c r="F179" s="7"/>
    </row>
    <row r="180" spans="2:6" x14ac:dyDescent="0.2">
      <c r="B180" s="8"/>
      <c r="F180" s="7"/>
    </row>
    <row r="181" spans="2:6" x14ac:dyDescent="0.2">
      <c r="B181" s="8"/>
      <c r="F181" s="7"/>
    </row>
    <row r="182" spans="2:6" x14ac:dyDescent="0.2">
      <c r="B182" s="8"/>
      <c r="F182" s="7"/>
    </row>
    <row r="183" spans="2:6" x14ac:dyDescent="0.2">
      <c r="B183" s="8"/>
      <c r="F183" s="7"/>
    </row>
    <row r="184" spans="2:6" x14ac:dyDescent="0.2">
      <c r="B184" s="8"/>
      <c r="F184" s="7"/>
    </row>
    <row r="185" spans="2:6" x14ac:dyDescent="0.2">
      <c r="B185" s="8"/>
      <c r="F185" s="7"/>
    </row>
    <row r="186" spans="2:6" x14ac:dyDescent="0.2">
      <c r="B186" s="8"/>
      <c r="F186" s="7"/>
    </row>
    <row r="187" spans="2:6" x14ac:dyDescent="0.2">
      <c r="B187" s="8"/>
      <c r="F187" s="7"/>
    </row>
    <row r="188" spans="2:6" x14ac:dyDescent="0.2">
      <c r="B188" s="8"/>
      <c r="F188" s="7"/>
    </row>
    <row r="189" spans="2:6" x14ac:dyDescent="0.2">
      <c r="B189" s="8"/>
      <c r="F189" s="7"/>
    </row>
    <row r="190" spans="2:6" x14ac:dyDescent="0.2">
      <c r="B190" s="8"/>
      <c r="F190" s="7"/>
    </row>
    <row r="191" spans="2:6" x14ac:dyDescent="0.2">
      <c r="B191" s="8"/>
      <c r="F191" s="7"/>
    </row>
    <row r="192" spans="2:6" x14ac:dyDescent="0.2">
      <c r="B192" s="8"/>
      <c r="F192" s="7"/>
    </row>
    <row r="193" spans="2:6" x14ac:dyDescent="0.2">
      <c r="B193" s="8"/>
      <c r="F193" s="7"/>
    </row>
    <row r="194" spans="2:6" x14ac:dyDescent="0.2">
      <c r="B194" s="8"/>
      <c r="F194" s="7"/>
    </row>
    <row r="195" spans="2:6" x14ac:dyDescent="0.2">
      <c r="B195" s="8"/>
      <c r="F195" s="7"/>
    </row>
    <row r="196" spans="2:6" x14ac:dyDescent="0.2">
      <c r="B196" s="8"/>
      <c r="F196" s="7"/>
    </row>
    <row r="197" spans="2:6" x14ac:dyDescent="0.2">
      <c r="B197" s="8"/>
      <c r="F197" s="7"/>
    </row>
    <row r="198" spans="2:6" x14ac:dyDescent="0.2">
      <c r="B198" s="8"/>
      <c r="F198" s="7"/>
    </row>
    <row r="199" spans="2:6" x14ac:dyDescent="0.2">
      <c r="B199" s="8"/>
      <c r="F199" s="7"/>
    </row>
    <row r="200" spans="2:6" x14ac:dyDescent="0.2">
      <c r="B200" s="8"/>
      <c r="F200" s="7"/>
    </row>
    <row r="201" spans="2:6" x14ac:dyDescent="0.2">
      <c r="B201" s="8"/>
      <c r="F201" s="7"/>
    </row>
    <row r="202" spans="2:6" x14ac:dyDescent="0.2">
      <c r="B202" s="8"/>
      <c r="F202" s="7"/>
    </row>
    <row r="203" spans="2:6" x14ac:dyDescent="0.2">
      <c r="B203" s="8"/>
      <c r="F203" s="7"/>
    </row>
    <row r="204" spans="2:6" x14ac:dyDescent="0.2">
      <c r="B204" s="8"/>
      <c r="F204" s="7"/>
    </row>
    <row r="205" spans="2:6" x14ac:dyDescent="0.2">
      <c r="B205" s="8"/>
      <c r="F205" s="7"/>
    </row>
    <row r="206" spans="2:6" x14ac:dyDescent="0.2">
      <c r="B206" s="8"/>
      <c r="F206" s="7"/>
    </row>
    <row r="207" spans="2:6" x14ac:dyDescent="0.2">
      <c r="B207" s="8"/>
      <c r="F207" s="7"/>
    </row>
    <row r="208" spans="2:6" x14ac:dyDescent="0.2">
      <c r="B208" s="8"/>
      <c r="F208" s="7"/>
    </row>
    <row r="209" spans="2:6" x14ac:dyDescent="0.2">
      <c r="B209" s="8"/>
      <c r="F209" s="7"/>
    </row>
    <row r="210" spans="2:6" x14ac:dyDescent="0.2">
      <c r="B210" s="8"/>
      <c r="F210" s="7"/>
    </row>
    <row r="211" spans="2:6" x14ac:dyDescent="0.2">
      <c r="B211" s="8"/>
      <c r="F211" s="7"/>
    </row>
    <row r="212" spans="2:6" x14ac:dyDescent="0.2">
      <c r="B212" s="8"/>
      <c r="F212" s="7"/>
    </row>
    <row r="213" spans="2:6" x14ac:dyDescent="0.2">
      <c r="B213" s="8"/>
      <c r="F213" s="7"/>
    </row>
    <row r="214" spans="2:6" x14ac:dyDescent="0.2">
      <c r="B214" s="8"/>
      <c r="F214" s="7"/>
    </row>
    <row r="215" spans="2:6" x14ac:dyDescent="0.2">
      <c r="B215" s="8"/>
      <c r="F215" s="7"/>
    </row>
    <row r="216" spans="2:6" x14ac:dyDescent="0.2">
      <c r="B216" s="8"/>
      <c r="F216" s="7"/>
    </row>
    <row r="217" spans="2:6" x14ac:dyDescent="0.2">
      <c r="B217" s="8"/>
      <c r="F217" s="7"/>
    </row>
    <row r="218" spans="2:6" x14ac:dyDescent="0.2">
      <c r="B218" s="8"/>
      <c r="F218" s="7"/>
    </row>
    <row r="219" spans="2:6" x14ac:dyDescent="0.2">
      <c r="B219" s="8"/>
      <c r="F219" s="7"/>
    </row>
    <row r="220" spans="2:6" x14ac:dyDescent="0.2">
      <c r="B220" s="8"/>
      <c r="F220" s="7"/>
    </row>
    <row r="221" spans="2:6" x14ac:dyDescent="0.2">
      <c r="B221" s="8"/>
      <c r="F221" s="7"/>
    </row>
    <row r="222" spans="2:6" x14ac:dyDescent="0.2">
      <c r="B222" s="8"/>
      <c r="F222" s="7"/>
    </row>
    <row r="223" spans="2:6" x14ac:dyDescent="0.2">
      <c r="B223" s="8"/>
      <c r="F223" s="7"/>
    </row>
    <row r="224" spans="2:6" x14ac:dyDescent="0.2">
      <c r="B224" s="8"/>
      <c r="F224" s="7"/>
    </row>
    <row r="225" spans="2:6" x14ac:dyDescent="0.2">
      <c r="B225" s="8"/>
      <c r="F225" s="7"/>
    </row>
    <row r="226" spans="2:6" x14ac:dyDescent="0.2">
      <c r="B226" s="8"/>
      <c r="F226" s="7"/>
    </row>
    <row r="227" spans="2:6" x14ac:dyDescent="0.2">
      <c r="B227" s="8"/>
      <c r="F227" s="7"/>
    </row>
    <row r="228" spans="2:6" x14ac:dyDescent="0.2">
      <c r="B228" s="8"/>
      <c r="F228" s="7"/>
    </row>
    <row r="229" spans="2:6" x14ac:dyDescent="0.2">
      <c r="B229" s="8"/>
      <c r="F229" s="7"/>
    </row>
    <row r="230" spans="2:6" x14ac:dyDescent="0.2">
      <c r="B230" s="8"/>
      <c r="F230" s="7"/>
    </row>
    <row r="231" spans="2:6" x14ac:dyDescent="0.2">
      <c r="B231" s="8"/>
      <c r="F231" s="7"/>
    </row>
    <row r="232" spans="2:6" x14ac:dyDescent="0.2">
      <c r="B232" s="8"/>
      <c r="F232" s="7"/>
    </row>
    <row r="233" spans="2:6" x14ac:dyDescent="0.2">
      <c r="B233" s="8"/>
      <c r="F233" s="7"/>
    </row>
    <row r="234" spans="2:6" x14ac:dyDescent="0.2">
      <c r="B234" s="8"/>
      <c r="F234" s="7"/>
    </row>
    <row r="235" spans="2:6" x14ac:dyDescent="0.2">
      <c r="B235" s="8"/>
      <c r="F235" s="7"/>
    </row>
    <row r="236" spans="2:6" x14ac:dyDescent="0.2">
      <c r="B236" s="8"/>
      <c r="F236" s="7"/>
    </row>
    <row r="237" spans="2:6" x14ac:dyDescent="0.2">
      <c r="B237" s="8"/>
      <c r="F237" s="7"/>
    </row>
    <row r="238" spans="2:6" x14ac:dyDescent="0.2">
      <c r="B238" s="8"/>
      <c r="F238" s="7"/>
    </row>
    <row r="239" spans="2:6" x14ac:dyDescent="0.2">
      <c r="B239" s="8"/>
      <c r="F239" s="7"/>
    </row>
    <row r="240" spans="2:6" x14ac:dyDescent="0.2">
      <c r="B240" s="8"/>
      <c r="F240" s="7"/>
    </row>
    <row r="241" spans="2:6" x14ac:dyDescent="0.2">
      <c r="B241" s="8"/>
      <c r="F241" s="7"/>
    </row>
    <row r="242" spans="2:6" x14ac:dyDescent="0.2">
      <c r="B242" s="8"/>
      <c r="F242" s="7"/>
    </row>
    <row r="243" spans="2:6" x14ac:dyDescent="0.2">
      <c r="B243" s="8"/>
      <c r="F243" s="7"/>
    </row>
    <row r="244" spans="2:6" x14ac:dyDescent="0.2">
      <c r="B244" s="8"/>
      <c r="F244" s="7"/>
    </row>
    <row r="245" spans="2:6" x14ac:dyDescent="0.2">
      <c r="B245" s="8"/>
      <c r="F245" s="7"/>
    </row>
    <row r="246" spans="2:6" x14ac:dyDescent="0.2">
      <c r="B246" s="8"/>
      <c r="F246" s="7"/>
    </row>
    <row r="247" spans="2:6" x14ac:dyDescent="0.2">
      <c r="B247" s="8"/>
      <c r="F247" s="7"/>
    </row>
    <row r="248" spans="2:6" x14ac:dyDescent="0.2">
      <c r="B248" s="8"/>
      <c r="F248" s="7"/>
    </row>
    <row r="249" spans="2:6" x14ac:dyDescent="0.2">
      <c r="B249" s="8"/>
      <c r="F249" s="7"/>
    </row>
    <row r="250" spans="2:6" x14ac:dyDescent="0.2">
      <c r="B250" s="8"/>
      <c r="F250" s="7"/>
    </row>
    <row r="251" spans="2:6" x14ac:dyDescent="0.2">
      <c r="B251" s="8"/>
      <c r="F251" s="7"/>
    </row>
    <row r="252" spans="2:6" x14ac:dyDescent="0.2">
      <c r="B252" s="8"/>
      <c r="F252" s="7"/>
    </row>
    <row r="253" spans="2:6" x14ac:dyDescent="0.2">
      <c r="B253" s="8"/>
      <c r="F253" s="7"/>
    </row>
    <row r="254" spans="2:6" x14ac:dyDescent="0.2">
      <c r="B254" s="8"/>
      <c r="F254" s="7"/>
    </row>
    <row r="255" spans="2:6" x14ac:dyDescent="0.2">
      <c r="B255" s="8"/>
      <c r="F255" s="7"/>
    </row>
    <row r="256" spans="2:6" x14ac:dyDescent="0.2">
      <c r="B256" s="8"/>
      <c r="F256" s="7"/>
    </row>
    <row r="257" spans="2:6" x14ac:dyDescent="0.2">
      <c r="B257" s="8"/>
      <c r="F257" s="7"/>
    </row>
    <row r="258" spans="2:6" x14ac:dyDescent="0.2">
      <c r="B258" s="8"/>
      <c r="F258" s="7"/>
    </row>
    <row r="259" spans="2:6" x14ac:dyDescent="0.2">
      <c r="B259" s="8"/>
      <c r="F259" s="7"/>
    </row>
    <row r="260" spans="2:6" x14ac:dyDescent="0.2">
      <c r="B260" s="8"/>
      <c r="F260" s="7"/>
    </row>
    <row r="261" spans="2:6" x14ac:dyDescent="0.2">
      <c r="B261" s="8"/>
      <c r="F261" s="7"/>
    </row>
    <row r="262" spans="2:6" x14ac:dyDescent="0.2">
      <c r="B262" s="8"/>
      <c r="F262" s="7"/>
    </row>
    <row r="263" spans="2:6" x14ac:dyDescent="0.2">
      <c r="B263" s="8"/>
      <c r="F263" s="7"/>
    </row>
    <row r="264" spans="2:6" x14ac:dyDescent="0.2">
      <c r="B264" s="8"/>
      <c r="F264" s="7"/>
    </row>
    <row r="265" spans="2:6" x14ac:dyDescent="0.2">
      <c r="B265" s="8"/>
      <c r="F265" s="7"/>
    </row>
    <row r="266" spans="2:6" x14ac:dyDescent="0.2">
      <c r="B266" s="8"/>
      <c r="F266" s="7"/>
    </row>
    <row r="267" spans="2:6" x14ac:dyDescent="0.2">
      <c r="B267" s="8"/>
      <c r="F267" s="7"/>
    </row>
    <row r="268" spans="2:6" x14ac:dyDescent="0.2">
      <c r="B268" s="8"/>
      <c r="F268" s="7"/>
    </row>
    <row r="269" spans="2:6" x14ac:dyDescent="0.2">
      <c r="B269" s="8"/>
      <c r="F269" s="7"/>
    </row>
    <row r="270" spans="2:6" x14ac:dyDescent="0.2">
      <c r="B270" s="8"/>
      <c r="F270" s="7"/>
    </row>
    <row r="271" spans="2:6" x14ac:dyDescent="0.2">
      <c r="B271" s="8"/>
      <c r="F271" s="7"/>
    </row>
    <row r="272" spans="2:6" x14ac:dyDescent="0.2">
      <c r="B272" s="8"/>
      <c r="F272" s="7"/>
    </row>
    <row r="273" spans="2:6" x14ac:dyDescent="0.2">
      <c r="B273" s="8"/>
      <c r="F273" s="7"/>
    </row>
    <row r="274" spans="2:6" x14ac:dyDescent="0.2">
      <c r="B274" s="8"/>
      <c r="F274" s="7"/>
    </row>
    <row r="275" spans="2:6" x14ac:dyDescent="0.2">
      <c r="B275" s="8"/>
      <c r="F275" s="7"/>
    </row>
    <row r="276" spans="2:6" x14ac:dyDescent="0.2">
      <c r="B276" s="8"/>
      <c r="F276" s="7"/>
    </row>
    <row r="277" spans="2:6" x14ac:dyDescent="0.2">
      <c r="B277" s="8"/>
      <c r="F277" s="7"/>
    </row>
    <row r="278" spans="2:6" x14ac:dyDescent="0.2">
      <c r="B278" s="8"/>
      <c r="F278" s="7"/>
    </row>
    <row r="279" spans="2:6" x14ac:dyDescent="0.2">
      <c r="B279" s="8"/>
      <c r="F279" s="7"/>
    </row>
    <row r="280" spans="2:6" x14ac:dyDescent="0.2">
      <c r="B280" s="8"/>
      <c r="F280" s="7"/>
    </row>
    <row r="281" spans="2:6" x14ac:dyDescent="0.2">
      <c r="B281" s="8"/>
      <c r="F281" s="7"/>
    </row>
    <row r="282" spans="2:6" x14ac:dyDescent="0.2">
      <c r="B282" s="8"/>
      <c r="F282" s="7"/>
    </row>
    <row r="283" spans="2:6" x14ac:dyDescent="0.2">
      <c r="B283" s="8"/>
      <c r="F283" s="7"/>
    </row>
    <row r="284" spans="2:6" x14ac:dyDescent="0.2">
      <c r="B284" s="8"/>
      <c r="F284" s="7"/>
    </row>
    <row r="285" spans="2:6" x14ac:dyDescent="0.2">
      <c r="B285" s="8"/>
      <c r="F285" s="7"/>
    </row>
    <row r="286" spans="2:6" x14ac:dyDescent="0.2">
      <c r="B286" s="8"/>
      <c r="F286" s="7"/>
    </row>
    <row r="287" spans="2:6" x14ac:dyDescent="0.2">
      <c r="B287" s="8"/>
      <c r="F287" s="7"/>
    </row>
    <row r="288" spans="2:6" x14ac:dyDescent="0.2">
      <c r="B288" s="8"/>
      <c r="F288" s="7"/>
    </row>
    <row r="289" spans="2:6" x14ac:dyDescent="0.2">
      <c r="B289" s="8"/>
      <c r="F289" s="7"/>
    </row>
    <row r="290" spans="2:6" x14ac:dyDescent="0.2">
      <c r="B290" s="8"/>
      <c r="F290" s="7"/>
    </row>
    <row r="291" spans="2:6" x14ac:dyDescent="0.2">
      <c r="B291" s="8"/>
      <c r="F291" s="7"/>
    </row>
    <row r="292" spans="2:6" x14ac:dyDescent="0.2">
      <c r="B292" s="8"/>
      <c r="F292" s="7"/>
    </row>
    <row r="293" spans="2:6" x14ac:dyDescent="0.2">
      <c r="B293" s="8"/>
      <c r="F293" s="7"/>
    </row>
    <row r="294" spans="2:6" x14ac:dyDescent="0.2">
      <c r="B294" s="8"/>
      <c r="F294" s="7"/>
    </row>
    <row r="295" spans="2:6" x14ac:dyDescent="0.2">
      <c r="B295" s="8"/>
      <c r="F295" s="7"/>
    </row>
    <row r="296" spans="2:6" x14ac:dyDescent="0.2">
      <c r="B296" s="8"/>
      <c r="F296" s="7"/>
    </row>
    <row r="297" spans="2:6" x14ac:dyDescent="0.2">
      <c r="B297" s="8"/>
      <c r="F297" s="7"/>
    </row>
    <row r="298" spans="2:6" x14ac:dyDescent="0.2">
      <c r="B298" s="8"/>
      <c r="F298" s="7"/>
    </row>
    <row r="299" spans="2:6" x14ac:dyDescent="0.2">
      <c r="B299" s="8"/>
      <c r="F299" s="7"/>
    </row>
    <row r="300" spans="2:6" x14ac:dyDescent="0.2">
      <c r="B300" s="8"/>
      <c r="F300" s="7"/>
    </row>
    <row r="301" spans="2:6" x14ac:dyDescent="0.2">
      <c r="B301" s="8"/>
      <c r="F301" s="7"/>
    </row>
    <row r="302" spans="2:6" x14ac:dyDescent="0.2">
      <c r="B302" s="8"/>
      <c r="F302" s="7"/>
    </row>
    <row r="303" spans="2:6" x14ac:dyDescent="0.2">
      <c r="B303" s="8"/>
      <c r="F303" s="7"/>
    </row>
    <row r="304" spans="2:6" x14ac:dyDescent="0.2">
      <c r="B304" s="8"/>
      <c r="F304" s="7"/>
    </row>
    <row r="305" spans="2:6" x14ac:dyDescent="0.2">
      <c r="B305" s="8"/>
      <c r="F305" s="7"/>
    </row>
    <row r="306" spans="2:6" x14ac:dyDescent="0.2">
      <c r="B306" s="8"/>
      <c r="F306" s="7"/>
    </row>
    <row r="307" spans="2:6" x14ac:dyDescent="0.2">
      <c r="B307" s="8"/>
      <c r="F307" s="7"/>
    </row>
    <row r="308" spans="2:6" x14ac:dyDescent="0.2">
      <c r="B308" s="8"/>
      <c r="F308" s="7"/>
    </row>
    <row r="309" spans="2:6" x14ac:dyDescent="0.2">
      <c r="B309" s="8"/>
      <c r="F309" s="7"/>
    </row>
    <row r="310" spans="2:6" x14ac:dyDescent="0.2">
      <c r="B310" s="8"/>
      <c r="F310" s="7"/>
    </row>
    <row r="311" spans="2:6" x14ac:dyDescent="0.2">
      <c r="B311" s="8"/>
      <c r="F311" s="7"/>
    </row>
    <row r="312" spans="2:6" x14ac:dyDescent="0.2">
      <c r="B312" s="8"/>
      <c r="F312" s="7"/>
    </row>
    <row r="313" spans="2:6" x14ac:dyDescent="0.2">
      <c r="B313" s="8"/>
      <c r="F313" s="7"/>
    </row>
    <row r="314" spans="2:6" x14ac:dyDescent="0.2">
      <c r="B314" s="8"/>
      <c r="F314" s="7"/>
    </row>
    <row r="315" spans="2:6" x14ac:dyDescent="0.2">
      <c r="B315" s="8"/>
      <c r="F315" s="7"/>
    </row>
    <row r="316" spans="2:6" x14ac:dyDescent="0.2">
      <c r="B316" s="8"/>
      <c r="F316" s="7"/>
    </row>
    <row r="317" spans="2:6" x14ac:dyDescent="0.2">
      <c r="B317" s="8"/>
      <c r="F317" s="7"/>
    </row>
    <row r="318" spans="2:6" x14ac:dyDescent="0.2">
      <c r="B318" s="8"/>
      <c r="F318" s="7"/>
    </row>
    <row r="319" spans="2:6" x14ac:dyDescent="0.2">
      <c r="B319" s="8"/>
      <c r="F319" s="7"/>
    </row>
    <row r="320" spans="2:6" x14ac:dyDescent="0.2">
      <c r="B320" s="8"/>
      <c r="F320" s="7"/>
    </row>
    <row r="321" spans="2:6" x14ac:dyDescent="0.2">
      <c r="B321" s="8"/>
      <c r="F321" s="7"/>
    </row>
    <row r="322" spans="2:6" x14ac:dyDescent="0.2">
      <c r="B322" s="8"/>
      <c r="F322" s="7"/>
    </row>
    <row r="323" spans="2:6" x14ac:dyDescent="0.2">
      <c r="B323" s="8"/>
      <c r="F323" s="7"/>
    </row>
    <row r="324" spans="2:6" x14ac:dyDescent="0.2">
      <c r="B324" s="8"/>
      <c r="F324" s="7"/>
    </row>
    <row r="325" spans="2:6" x14ac:dyDescent="0.2">
      <c r="B325" s="8"/>
      <c r="F325" s="7"/>
    </row>
    <row r="326" spans="2:6" x14ac:dyDescent="0.2">
      <c r="B326" s="8"/>
      <c r="F326" s="7"/>
    </row>
    <row r="327" spans="2:6" x14ac:dyDescent="0.2">
      <c r="B327" s="8"/>
      <c r="F327" s="7"/>
    </row>
    <row r="328" spans="2:6" x14ac:dyDescent="0.2">
      <c r="B328" s="8"/>
      <c r="F328" s="7"/>
    </row>
    <row r="329" spans="2:6" x14ac:dyDescent="0.2">
      <c r="B329" s="8"/>
      <c r="F329" s="7"/>
    </row>
    <row r="330" spans="2:6" x14ac:dyDescent="0.2">
      <c r="B330" s="8"/>
      <c r="F330" s="7"/>
    </row>
    <row r="331" spans="2:6" x14ac:dyDescent="0.2">
      <c r="B331" s="8"/>
      <c r="F331" s="7"/>
    </row>
    <row r="332" spans="2:6" x14ac:dyDescent="0.2">
      <c r="B332" s="8"/>
      <c r="F332" s="7"/>
    </row>
    <row r="333" spans="2:6" x14ac:dyDescent="0.2">
      <c r="B333" s="8"/>
      <c r="F333" s="7"/>
    </row>
    <row r="334" spans="2:6" x14ac:dyDescent="0.2">
      <c r="B334" s="8"/>
      <c r="F334" s="7"/>
    </row>
    <row r="335" spans="2:6" x14ac:dyDescent="0.2">
      <c r="B335" s="8"/>
      <c r="F335" s="7"/>
    </row>
    <row r="336" spans="2:6" x14ac:dyDescent="0.2">
      <c r="B336" s="8"/>
      <c r="F336" s="7"/>
    </row>
    <row r="337" spans="2:6" x14ac:dyDescent="0.2">
      <c r="B337" s="8"/>
      <c r="F337" s="7"/>
    </row>
    <row r="338" spans="2:6" x14ac:dyDescent="0.2">
      <c r="B338" s="8"/>
      <c r="F338" s="7"/>
    </row>
    <row r="339" spans="2:6" x14ac:dyDescent="0.2">
      <c r="B339" s="8"/>
      <c r="F339" s="7"/>
    </row>
    <row r="340" spans="2:6" x14ac:dyDescent="0.2">
      <c r="B340" s="8"/>
      <c r="F340" s="7"/>
    </row>
    <row r="341" spans="2:6" x14ac:dyDescent="0.2">
      <c r="B341" s="8"/>
      <c r="F341" s="7"/>
    </row>
    <row r="342" spans="2:6" x14ac:dyDescent="0.2">
      <c r="B342" s="8"/>
      <c r="F342" s="7"/>
    </row>
    <row r="343" spans="2:6" x14ac:dyDescent="0.2">
      <c r="B343" s="8"/>
      <c r="F343" s="7"/>
    </row>
    <row r="344" spans="2:6" x14ac:dyDescent="0.2">
      <c r="B344" s="8"/>
      <c r="F344" s="7"/>
    </row>
    <row r="345" spans="2:6" x14ac:dyDescent="0.2">
      <c r="B345" s="8"/>
      <c r="F345" s="7"/>
    </row>
    <row r="346" spans="2:6" x14ac:dyDescent="0.2">
      <c r="B346" s="8"/>
      <c r="F346" s="7"/>
    </row>
    <row r="347" spans="2:6" x14ac:dyDescent="0.2">
      <c r="B347" s="8"/>
      <c r="F347" s="7"/>
    </row>
    <row r="348" spans="2:6" x14ac:dyDescent="0.2">
      <c r="B348" s="8"/>
      <c r="F348" s="7"/>
    </row>
    <row r="349" spans="2:6" x14ac:dyDescent="0.2">
      <c r="B349" s="8"/>
      <c r="F349" s="7"/>
    </row>
    <row r="350" spans="2:6" x14ac:dyDescent="0.2">
      <c r="B350" s="8"/>
      <c r="F350" s="7"/>
    </row>
    <row r="351" spans="2:6" x14ac:dyDescent="0.2">
      <c r="B351" s="8"/>
      <c r="F351" s="7"/>
    </row>
    <row r="352" spans="2:6" x14ac:dyDescent="0.2">
      <c r="B352" s="8"/>
      <c r="F352" s="7"/>
    </row>
    <row r="353" spans="2:6" x14ac:dyDescent="0.2">
      <c r="B353" s="8"/>
      <c r="F353" s="7"/>
    </row>
    <row r="354" spans="2:6" x14ac:dyDescent="0.2">
      <c r="B354" s="8"/>
      <c r="F354" s="7"/>
    </row>
    <row r="355" spans="2:6" x14ac:dyDescent="0.2">
      <c r="B355" s="8"/>
      <c r="F355" s="7"/>
    </row>
    <row r="356" spans="2:6" x14ac:dyDescent="0.2">
      <c r="B356" s="8"/>
      <c r="F356" s="7"/>
    </row>
    <row r="357" spans="2:6" x14ac:dyDescent="0.2">
      <c r="B357" s="8"/>
      <c r="F357" s="7"/>
    </row>
    <row r="358" spans="2:6" x14ac:dyDescent="0.2">
      <c r="B358" s="8"/>
      <c r="F358" s="7"/>
    </row>
    <row r="359" spans="2:6" x14ac:dyDescent="0.2">
      <c r="B359" s="8"/>
      <c r="F359" s="7"/>
    </row>
    <row r="360" spans="2:6" x14ac:dyDescent="0.2">
      <c r="B360" s="8"/>
      <c r="F360" s="7"/>
    </row>
    <row r="361" spans="2:6" x14ac:dyDescent="0.2">
      <c r="B361" s="8"/>
      <c r="F361" s="7"/>
    </row>
    <row r="362" spans="2:6" x14ac:dyDescent="0.2">
      <c r="B362" s="8"/>
      <c r="F362" s="7"/>
    </row>
    <row r="363" spans="2:6" x14ac:dyDescent="0.2">
      <c r="B363" s="8"/>
      <c r="F363" s="7"/>
    </row>
    <row r="364" spans="2:6" x14ac:dyDescent="0.2">
      <c r="B364" s="8"/>
      <c r="F364" s="7"/>
    </row>
    <row r="365" spans="2:6" x14ac:dyDescent="0.2">
      <c r="B365" s="8"/>
      <c r="F365" s="7"/>
    </row>
    <row r="366" spans="2:6" x14ac:dyDescent="0.2">
      <c r="B366" s="8"/>
      <c r="F366" s="7"/>
    </row>
    <row r="367" spans="2:6" x14ac:dyDescent="0.2">
      <c r="B367" s="8"/>
      <c r="F367" s="7"/>
    </row>
    <row r="368" spans="2:6" x14ac:dyDescent="0.2">
      <c r="B368" s="8"/>
      <c r="F368" s="7"/>
    </row>
    <row r="369" spans="2:6" x14ac:dyDescent="0.2">
      <c r="B369" s="8"/>
      <c r="F369" s="7"/>
    </row>
    <row r="370" spans="2:6" x14ac:dyDescent="0.2">
      <c r="B370" s="8"/>
      <c r="F370" s="7"/>
    </row>
    <row r="371" spans="2:6" x14ac:dyDescent="0.2">
      <c r="B371" s="8"/>
      <c r="F371" s="7"/>
    </row>
    <row r="372" spans="2:6" x14ac:dyDescent="0.2">
      <c r="B372" s="8"/>
      <c r="F372" s="7"/>
    </row>
    <row r="373" spans="2:6" x14ac:dyDescent="0.2">
      <c r="B373" s="8"/>
      <c r="F373" s="7"/>
    </row>
    <row r="374" spans="2:6" x14ac:dyDescent="0.2">
      <c r="B374" s="8"/>
      <c r="F374" s="7"/>
    </row>
    <row r="375" spans="2:6" x14ac:dyDescent="0.2">
      <c r="B375" s="8"/>
      <c r="F375" s="7"/>
    </row>
    <row r="376" spans="2:6" x14ac:dyDescent="0.2">
      <c r="B376" s="8"/>
      <c r="F376" s="7"/>
    </row>
    <row r="377" spans="2:6" x14ac:dyDescent="0.2">
      <c r="B377" s="8"/>
      <c r="F377" s="7"/>
    </row>
    <row r="378" spans="2:6" x14ac:dyDescent="0.2">
      <c r="B378" s="8"/>
      <c r="F378" s="7"/>
    </row>
    <row r="379" spans="2:6" x14ac:dyDescent="0.2">
      <c r="B379" s="8"/>
      <c r="F379" s="7"/>
    </row>
    <row r="380" spans="2:6" x14ac:dyDescent="0.2">
      <c r="B380" s="8"/>
      <c r="F380" s="7"/>
    </row>
    <row r="381" spans="2:6" x14ac:dyDescent="0.2">
      <c r="B381" s="8"/>
      <c r="F381" s="7"/>
    </row>
    <row r="382" spans="2:6" x14ac:dyDescent="0.2">
      <c r="B382" s="8"/>
      <c r="F382" s="7"/>
    </row>
    <row r="383" spans="2:6" x14ac:dyDescent="0.2">
      <c r="B383" s="8"/>
      <c r="F383" s="7"/>
    </row>
    <row r="384" spans="2:6" x14ac:dyDescent="0.2">
      <c r="B384" s="8"/>
      <c r="F384" s="7"/>
    </row>
    <row r="385" spans="2:6" x14ac:dyDescent="0.2">
      <c r="B385" s="8"/>
      <c r="F385" s="7"/>
    </row>
    <row r="386" spans="2:6" x14ac:dyDescent="0.2">
      <c r="B386" s="8"/>
      <c r="F386" s="7"/>
    </row>
    <row r="387" spans="2:6" x14ac:dyDescent="0.2">
      <c r="B387" s="8"/>
      <c r="F387" s="7"/>
    </row>
    <row r="388" spans="2:6" x14ac:dyDescent="0.2">
      <c r="B388" s="8"/>
      <c r="F388" s="7"/>
    </row>
    <row r="389" spans="2:6" x14ac:dyDescent="0.2">
      <c r="B389" s="8"/>
      <c r="F389" s="7"/>
    </row>
    <row r="390" spans="2:6" x14ac:dyDescent="0.2">
      <c r="B390" s="8"/>
      <c r="F390" s="7"/>
    </row>
    <row r="391" spans="2:6" x14ac:dyDescent="0.2">
      <c r="B391" s="8"/>
      <c r="F391" s="7"/>
    </row>
    <row r="392" spans="2:6" x14ac:dyDescent="0.2">
      <c r="B392" s="8"/>
      <c r="F392" s="7"/>
    </row>
    <row r="393" spans="2:6" x14ac:dyDescent="0.2">
      <c r="B393" s="8"/>
      <c r="F393" s="7"/>
    </row>
    <row r="394" spans="2:6" x14ac:dyDescent="0.2">
      <c r="B394" s="8"/>
      <c r="F394" s="7"/>
    </row>
    <row r="395" spans="2:6" x14ac:dyDescent="0.2">
      <c r="B395" s="8"/>
      <c r="F395" s="7"/>
    </row>
    <row r="396" spans="2:6" x14ac:dyDescent="0.2">
      <c r="B396" s="8"/>
      <c r="F396" s="7"/>
    </row>
    <row r="397" spans="2:6" x14ac:dyDescent="0.2">
      <c r="B397" s="8"/>
      <c r="F397" s="7"/>
    </row>
    <row r="398" spans="2:6" x14ac:dyDescent="0.2">
      <c r="B398" s="8"/>
      <c r="F398" s="7"/>
    </row>
    <row r="399" spans="2:6" x14ac:dyDescent="0.2">
      <c r="B399" s="8"/>
      <c r="F399" s="7"/>
    </row>
    <row r="400" spans="2:6" x14ac:dyDescent="0.2">
      <c r="B400" s="8"/>
      <c r="F400" s="7"/>
    </row>
    <row r="401" spans="2:6" x14ac:dyDescent="0.2">
      <c r="B401" s="8"/>
      <c r="F401" s="7"/>
    </row>
    <row r="402" spans="2:6" x14ac:dyDescent="0.2">
      <c r="B402" s="8"/>
      <c r="F402" s="7"/>
    </row>
    <row r="403" spans="2:6" x14ac:dyDescent="0.2">
      <c r="B403" s="8"/>
      <c r="F403" s="7"/>
    </row>
    <row r="404" spans="2:6" x14ac:dyDescent="0.2">
      <c r="B404" s="8"/>
      <c r="F404" s="7"/>
    </row>
    <row r="405" spans="2:6" x14ac:dyDescent="0.2">
      <c r="B405" s="8"/>
      <c r="F405" s="7"/>
    </row>
    <row r="406" spans="2:6" x14ac:dyDescent="0.2">
      <c r="B406" s="8"/>
      <c r="F406" s="7"/>
    </row>
    <row r="407" spans="2:6" x14ac:dyDescent="0.2">
      <c r="B407" s="8"/>
      <c r="F407" s="7"/>
    </row>
    <row r="408" spans="2:6" x14ac:dyDescent="0.2">
      <c r="B408" s="8"/>
      <c r="F408" s="7"/>
    </row>
    <row r="409" spans="2:6" x14ac:dyDescent="0.2">
      <c r="B409" s="8"/>
      <c r="F409" s="7"/>
    </row>
    <row r="410" spans="2:6" x14ac:dyDescent="0.2">
      <c r="B410" s="8"/>
      <c r="F410" s="7"/>
    </row>
    <row r="411" spans="2:6" x14ac:dyDescent="0.2">
      <c r="B411" s="8"/>
      <c r="F411" s="7"/>
    </row>
    <row r="412" spans="2:6" x14ac:dyDescent="0.2">
      <c r="B412" s="8"/>
      <c r="F412" s="7"/>
    </row>
    <row r="413" spans="2:6" x14ac:dyDescent="0.2">
      <c r="B413" s="8"/>
      <c r="F413" s="7"/>
    </row>
    <row r="414" spans="2:6" x14ac:dyDescent="0.2">
      <c r="B414" s="8"/>
      <c r="F414" s="7"/>
    </row>
    <row r="415" spans="2:6" x14ac:dyDescent="0.2">
      <c r="B415" s="8"/>
      <c r="F415" s="7"/>
    </row>
    <row r="416" spans="2:6" x14ac:dyDescent="0.2">
      <c r="B416" s="8"/>
      <c r="F416" s="7"/>
    </row>
    <row r="417" spans="2:6" x14ac:dyDescent="0.2">
      <c r="B417" s="8"/>
      <c r="F417" s="7"/>
    </row>
    <row r="418" spans="2:6" x14ac:dyDescent="0.2">
      <c r="B418" s="8"/>
      <c r="F418" s="7"/>
    </row>
    <row r="419" spans="2:6" x14ac:dyDescent="0.2">
      <c r="B419" s="8"/>
      <c r="F419" s="7"/>
    </row>
    <row r="420" spans="2:6" x14ac:dyDescent="0.2">
      <c r="B420" s="8"/>
      <c r="F420" s="7"/>
    </row>
    <row r="421" spans="2:6" x14ac:dyDescent="0.2">
      <c r="B421" s="8"/>
      <c r="F421" s="7"/>
    </row>
    <row r="422" spans="2:6" x14ac:dyDescent="0.2">
      <c r="B422" s="8"/>
      <c r="F422" s="7"/>
    </row>
    <row r="423" spans="2:6" x14ac:dyDescent="0.2">
      <c r="B423" s="8"/>
      <c r="F423" s="7"/>
    </row>
    <row r="424" spans="2:6" x14ac:dyDescent="0.2">
      <c r="B424" s="8"/>
      <c r="F424" s="7"/>
    </row>
    <row r="425" spans="2:6" x14ac:dyDescent="0.2">
      <c r="B425" s="8"/>
      <c r="F425" s="7"/>
    </row>
    <row r="426" spans="2:6" x14ac:dyDescent="0.2">
      <c r="B426" s="8"/>
      <c r="F426" s="7"/>
    </row>
    <row r="427" spans="2:6" x14ac:dyDescent="0.2">
      <c r="B427" s="8"/>
      <c r="F427" s="7"/>
    </row>
    <row r="428" spans="2:6" x14ac:dyDescent="0.2">
      <c r="B428" s="8"/>
      <c r="F428" s="7"/>
    </row>
    <row r="429" spans="2:6" x14ac:dyDescent="0.2">
      <c r="B429" s="8"/>
      <c r="F429" s="7"/>
    </row>
    <row r="430" spans="2:6" x14ac:dyDescent="0.2">
      <c r="B430" s="8"/>
      <c r="F430" s="7"/>
    </row>
    <row r="431" spans="2:6" x14ac:dyDescent="0.2">
      <c r="B431" s="8"/>
      <c r="F431" s="7"/>
    </row>
    <row r="432" spans="2:6" x14ac:dyDescent="0.2">
      <c r="B432" s="8"/>
      <c r="F432" s="7"/>
    </row>
    <row r="433" spans="2:6" x14ac:dyDescent="0.2">
      <c r="B433" s="8"/>
      <c r="F433" s="7"/>
    </row>
    <row r="434" spans="2:6" x14ac:dyDescent="0.2">
      <c r="B434" s="8"/>
      <c r="F434" s="7"/>
    </row>
    <row r="435" spans="2:6" x14ac:dyDescent="0.2">
      <c r="B435" s="8"/>
      <c r="F435" s="7"/>
    </row>
    <row r="436" spans="2:6" x14ac:dyDescent="0.2">
      <c r="B436" s="8"/>
      <c r="F436" s="7"/>
    </row>
    <row r="437" spans="2:6" x14ac:dyDescent="0.2">
      <c r="B437" s="8"/>
      <c r="F437" s="7"/>
    </row>
    <row r="438" spans="2:6" x14ac:dyDescent="0.2">
      <c r="B438" s="8"/>
      <c r="F438" s="7"/>
    </row>
    <row r="439" spans="2:6" x14ac:dyDescent="0.2">
      <c r="B439" s="8"/>
      <c r="F439" s="7"/>
    </row>
    <row r="440" spans="2:6" x14ac:dyDescent="0.2">
      <c r="B440" s="8"/>
      <c r="F440" s="7"/>
    </row>
    <row r="441" spans="2:6" x14ac:dyDescent="0.2">
      <c r="B441" s="8"/>
      <c r="F441" s="7"/>
    </row>
    <row r="442" spans="2:6" x14ac:dyDescent="0.2">
      <c r="B442" s="8"/>
      <c r="F442" s="7"/>
    </row>
    <row r="443" spans="2:6" x14ac:dyDescent="0.2">
      <c r="B443" s="8"/>
      <c r="F443" s="7"/>
    </row>
    <row r="444" spans="2:6" x14ac:dyDescent="0.2">
      <c r="B444" s="8"/>
      <c r="F444" s="7"/>
    </row>
    <row r="445" spans="2:6" x14ac:dyDescent="0.2">
      <c r="B445" s="8"/>
      <c r="F445" s="7"/>
    </row>
    <row r="446" spans="2:6" x14ac:dyDescent="0.2">
      <c r="B446" s="8"/>
      <c r="F446" s="7"/>
    </row>
    <row r="447" spans="2:6" x14ac:dyDescent="0.2">
      <c r="B447" s="8"/>
      <c r="F447" s="7"/>
    </row>
    <row r="448" spans="2:6" x14ac:dyDescent="0.2">
      <c r="B448" s="8"/>
      <c r="F448" s="7"/>
    </row>
    <row r="449" spans="2:6" x14ac:dyDescent="0.2">
      <c r="B449" s="8"/>
      <c r="F449" s="7"/>
    </row>
    <row r="450" spans="2:6" x14ac:dyDescent="0.2">
      <c r="B450" s="8"/>
      <c r="F450" s="7"/>
    </row>
    <row r="451" spans="2:6" x14ac:dyDescent="0.2">
      <c r="B451" s="8"/>
      <c r="F451" s="7"/>
    </row>
    <row r="452" spans="2:6" x14ac:dyDescent="0.2">
      <c r="B452" s="8"/>
      <c r="F452" s="7"/>
    </row>
    <row r="453" spans="2:6" x14ac:dyDescent="0.2">
      <c r="B453" s="8"/>
      <c r="F453" s="7"/>
    </row>
    <row r="454" spans="2:6" x14ac:dyDescent="0.2">
      <c r="B454" s="8"/>
      <c r="F454" s="7"/>
    </row>
    <row r="455" spans="2:6" x14ac:dyDescent="0.2">
      <c r="B455" s="8"/>
      <c r="F455" s="7"/>
    </row>
    <row r="456" spans="2:6" x14ac:dyDescent="0.2">
      <c r="B456" s="8"/>
      <c r="F456" s="7"/>
    </row>
    <row r="457" spans="2:6" x14ac:dyDescent="0.2">
      <c r="B457" s="8"/>
      <c r="F457" s="7"/>
    </row>
    <row r="458" spans="2:6" x14ac:dyDescent="0.2">
      <c r="B458" s="8"/>
      <c r="F458" s="7"/>
    </row>
    <row r="459" spans="2:6" x14ac:dyDescent="0.2">
      <c r="B459" s="8"/>
      <c r="F459" s="7"/>
    </row>
    <row r="460" spans="2:6" x14ac:dyDescent="0.2">
      <c r="B460" s="8"/>
      <c r="F460" s="7"/>
    </row>
    <row r="461" spans="2:6" x14ac:dyDescent="0.2">
      <c r="B461" s="8"/>
      <c r="F461" s="7"/>
    </row>
    <row r="462" spans="2:6" x14ac:dyDescent="0.2">
      <c r="B462" s="8"/>
      <c r="F462" s="7"/>
    </row>
    <row r="463" spans="2:6" x14ac:dyDescent="0.2">
      <c r="B463" s="8"/>
      <c r="F463" s="7"/>
    </row>
    <row r="464" spans="2:6" x14ac:dyDescent="0.2">
      <c r="B464" s="8"/>
      <c r="F464" s="7"/>
    </row>
    <row r="465" spans="2:6" x14ac:dyDescent="0.2">
      <c r="B465" s="8"/>
      <c r="F465" s="7"/>
    </row>
    <row r="466" spans="2:6" x14ac:dyDescent="0.2">
      <c r="B466" s="8"/>
      <c r="F466" s="7"/>
    </row>
    <row r="467" spans="2:6" x14ac:dyDescent="0.2">
      <c r="B467" s="8"/>
      <c r="F467" s="7"/>
    </row>
    <row r="468" spans="2:6" x14ac:dyDescent="0.2">
      <c r="B468" s="8"/>
      <c r="F468" s="7"/>
    </row>
    <row r="469" spans="2:6" x14ac:dyDescent="0.2">
      <c r="B469" s="8"/>
      <c r="F469" s="7"/>
    </row>
    <row r="470" spans="2:6" x14ac:dyDescent="0.2">
      <c r="B470" s="8"/>
      <c r="F470" s="7"/>
    </row>
    <row r="471" spans="2:6" x14ac:dyDescent="0.2">
      <c r="B471" s="8"/>
      <c r="F471" s="7"/>
    </row>
    <row r="472" spans="2:6" x14ac:dyDescent="0.2">
      <c r="B472" s="8"/>
      <c r="F472" s="7"/>
    </row>
    <row r="473" spans="2:6" x14ac:dyDescent="0.2">
      <c r="B473" s="8"/>
      <c r="F473" s="7"/>
    </row>
    <row r="474" spans="2:6" x14ac:dyDescent="0.2">
      <c r="B474" s="8"/>
      <c r="F474" s="7"/>
    </row>
    <row r="475" spans="2:6" x14ac:dyDescent="0.2">
      <c r="B475" s="8"/>
      <c r="F475" s="7"/>
    </row>
    <row r="476" spans="2:6" x14ac:dyDescent="0.2">
      <c r="B476" s="8"/>
      <c r="F476" s="7"/>
    </row>
    <row r="477" spans="2:6" x14ac:dyDescent="0.2">
      <c r="B477" s="8"/>
      <c r="F477" s="7"/>
    </row>
    <row r="478" spans="2:6" x14ac:dyDescent="0.2">
      <c r="B478" s="8"/>
      <c r="F478" s="7"/>
    </row>
    <row r="479" spans="2:6" x14ac:dyDescent="0.2">
      <c r="B479" s="8"/>
      <c r="F479" s="7"/>
    </row>
    <row r="480" spans="2:6" x14ac:dyDescent="0.2">
      <c r="B480" s="8"/>
      <c r="F480" s="7"/>
    </row>
    <row r="481" spans="2:6" x14ac:dyDescent="0.2">
      <c r="B481" s="8"/>
      <c r="F481" s="7"/>
    </row>
    <row r="482" spans="2:6" x14ac:dyDescent="0.2">
      <c r="B482" s="8"/>
      <c r="F482" s="7"/>
    </row>
    <row r="483" spans="2:6" x14ac:dyDescent="0.2">
      <c r="B483" s="8"/>
      <c r="F483" s="7"/>
    </row>
    <row r="484" spans="2:6" x14ac:dyDescent="0.2">
      <c r="B484" s="8"/>
      <c r="F484" s="7"/>
    </row>
    <row r="485" spans="2:6" x14ac:dyDescent="0.2">
      <c r="B485" s="8"/>
      <c r="F485" s="7"/>
    </row>
    <row r="486" spans="2:6" x14ac:dyDescent="0.2">
      <c r="B486" s="8"/>
      <c r="F486" s="7"/>
    </row>
    <row r="487" spans="2:6" x14ac:dyDescent="0.2">
      <c r="B487" s="8"/>
      <c r="F487" s="7"/>
    </row>
    <row r="488" spans="2:6" x14ac:dyDescent="0.2">
      <c r="B488" s="8"/>
      <c r="F488" s="7"/>
    </row>
    <row r="489" spans="2:6" x14ac:dyDescent="0.2">
      <c r="B489" s="8"/>
      <c r="F489" s="7"/>
    </row>
    <row r="490" spans="2:6" x14ac:dyDescent="0.2">
      <c r="B490" s="8"/>
      <c r="F490" s="7"/>
    </row>
    <row r="491" spans="2:6" x14ac:dyDescent="0.2">
      <c r="B491" s="8"/>
      <c r="F491" s="7"/>
    </row>
    <row r="492" spans="2:6" x14ac:dyDescent="0.2">
      <c r="B492" s="8"/>
      <c r="F492" s="7"/>
    </row>
    <row r="493" spans="2:6" x14ac:dyDescent="0.2">
      <c r="B493" s="8"/>
      <c r="F493" s="7"/>
    </row>
    <row r="494" spans="2:6" x14ac:dyDescent="0.2">
      <c r="B494" s="8"/>
      <c r="F494" s="7"/>
    </row>
    <row r="495" spans="2:6" x14ac:dyDescent="0.2">
      <c r="B495" s="8"/>
      <c r="F495" s="7"/>
    </row>
    <row r="496" spans="2:6" x14ac:dyDescent="0.2">
      <c r="B496" s="8"/>
      <c r="F496" s="7"/>
    </row>
    <row r="497" spans="2:6" x14ac:dyDescent="0.2">
      <c r="B497" s="8"/>
      <c r="F497" s="7"/>
    </row>
    <row r="498" spans="2:6" x14ac:dyDescent="0.2">
      <c r="B498" s="8"/>
      <c r="F498" s="7"/>
    </row>
    <row r="499" spans="2:6" x14ac:dyDescent="0.2">
      <c r="B499" s="8"/>
      <c r="F499" s="7"/>
    </row>
    <row r="500" spans="2:6" x14ac:dyDescent="0.2">
      <c r="B500" s="8"/>
      <c r="F500" s="7"/>
    </row>
  </sheetData>
  <mergeCells count="4">
    <mergeCell ref="A1:H1"/>
    <mergeCell ref="A2:H2"/>
    <mergeCell ref="J1:L1"/>
    <mergeCell ref="J10:L10"/>
  </mergeCells>
  <dataValidations count="1">
    <dataValidation type="list" allowBlank="1" showInputMessage="1" showErrorMessage="1" sqref="E4:E500" xr:uid="{B4CED1A5-A969-874E-B660-0E3B6F240140}">
      <formula1>"Utilities,Maintenance,Essentials,Safety,Upgrade,Other"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Echohaven Tracker</vt:lpstr>
      <vt:lpstr>Activity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Abiok</cp:lastModifiedBy>
  <dcterms:created xsi:type="dcterms:W3CDTF">2026-05-09T17:28:12Z</dcterms:created>
  <dcterms:modified xsi:type="dcterms:W3CDTF">2026-05-10T23:51:42Z</dcterms:modified>
</cp:coreProperties>
</file>